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223A94C0-C5B5-43FA-B0E9-9A6DF70A8E4D}" xr6:coauthVersionLast="47" xr6:coauthVersionMax="47" xr10:uidLastSave="{00000000-0000-0000-0000-000000000000}"/>
  <bookViews>
    <workbookView xWindow="-120" yWindow="-120" windowWidth="20730" windowHeight="11040" activeTab="1" xr2:uid="{00000000-000D-0000-FFFF-FFFF00000000}"/>
  </bookViews>
  <sheets>
    <sheet name="Marketing Campaign Data" sheetId="1" r:id="rId1"/>
    <sheet name="Pivotes" sheetId="6" r:id="rId2"/>
    <sheet name="Dashboard" sheetId="5" r:id="rId3"/>
  </sheets>
  <definedNames>
    <definedName name="_xlcn.WorksheetConnection_marketing_campaign_data_150.xlsxTable11" hidden="1">Table1[]</definedName>
    <definedName name="Slicer_Campaign_Date__Quarter">#N/A</definedName>
    <definedName name="Slicer_Category">#N/A</definedName>
    <definedName name="Slicer_Platform">#N/A</definedName>
    <definedName name="Slicer_Region">#N/A</definedName>
    <definedName name="Slicer_Target_Gende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marketing_campaign_data_150.xlsx!Table1"/>
        </x15:modelTables>
        <x15:extLst>
          <ext xmlns:x16="http://schemas.microsoft.com/office/spreadsheetml/2014/11/main" uri="{9835A34E-60A6-4A7C-AAB8-D5F71C897F49}">
            <x16:modelTimeGroupings>
              <x16:modelTimeGrouping tableName="Table1" columnName="Campaign Date" columnId="Campaign Date">
                <x16:calculatedTimeColumn columnName="Campaign Date (Quarter)" columnId="Campaign Date (Quarter)" contentType="quarters" isSelected="1"/>
                <x16:calculatedTimeColumn columnName="Campaign Date (Month Index)" columnId="Campaign Date (Month Index)" contentType="monthsindex" isSelected="0"/>
                <x16:calculatedTimeColumn columnName="Campaign Date (Month)" columnId="Campaign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2" i="6" l="1"/>
  <c r="G62" i="6"/>
  <c r="E62" i="6"/>
  <c r="C62" i="6"/>
  <c r="A6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8B266-0A08-4537-8A11-E0D7458C01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12795EE-C4AA-42DF-A216-3511EC27EA57}" name="WorksheetConnection_marketing_campaign_data_150.xlsx!Table1" type="102" refreshedVersion="8" minRefreshableVersion="5">
    <extLst>
      <ext xmlns:x15="http://schemas.microsoft.com/office/spreadsheetml/2010/11/main" uri="{DE250136-89BD-433C-8126-D09CA5730AF9}">
        <x15:connection id="Table1" autoDelete="1">
          <x15:rangePr sourceName="_xlcn.WorksheetConnection_marketing_campaign_data_150.xlsxTable11"/>
        </x15:connection>
      </ext>
    </extLst>
  </connection>
</connections>
</file>

<file path=xl/sharedStrings.xml><?xml version="1.0" encoding="utf-8"?>
<sst xmlns="http://schemas.openxmlformats.org/spreadsheetml/2006/main" count="1869" uniqueCount="264">
  <si>
    <t>Campaign ID</t>
  </si>
  <si>
    <t>Campaign Date</t>
  </si>
  <si>
    <t>Brand</t>
  </si>
  <si>
    <t>Category</t>
  </si>
  <si>
    <t>Campaign Type</t>
  </si>
  <si>
    <t>Platform</t>
  </si>
  <si>
    <t>Objective</t>
  </si>
  <si>
    <t>Target Age Group</t>
  </si>
  <si>
    <t>Target Gender</t>
  </si>
  <si>
    <t>City</t>
  </si>
  <si>
    <t>State</t>
  </si>
  <si>
    <t>Region</t>
  </si>
  <si>
    <t>Impressions</t>
  </si>
  <si>
    <t>Clicks</t>
  </si>
  <si>
    <t>CTR (%)</t>
  </si>
  <si>
    <t>Conversion Rate (%)</t>
  </si>
  <si>
    <t>Conversions</t>
  </si>
  <si>
    <t>Cost (₹)</t>
  </si>
  <si>
    <t>CPC (₹)</t>
  </si>
  <si>
    <t>CPA (₹)</t>
  </si>
  <si>
    <t>Revenue (₹)</t>
  </si>
  <si>
    <t>ROI (%)</t>
  </si>
  <si>
    <t>Engagement Rate (%)</t>
  </si>
  <si>
    <t>Status</t>
  </si>
  <si>
    <t>CMP5001</t>
  </si>
  <si>
    <t>Park Avenue</t>
  </si>
  <si>
    <t>Fashion</t>
  </si>
  <si>
    <t>Influencer Marketing</t>
  </si>
  <si>
    <t>Instagram</t>
  </si>
  <si>
    <t>Brand Awareness</t>
  </si>
  <si>
    <t>55+</t>
  </si>
  <si>
    <t>Male</t>
  </si>
  <si>
    <t>Hyderabad</t>
  </si>
  <si>
    <t>Telangana</t>
  </si>
  <si>
    <t>South</t>
  </si>
  <si>
    <t>Active</t>
  </si>
  <si>
    <t>CMP5002</t>
  </si>
  <si>
    <t>Zara</t>
  </si>
  <si>
    <t>Affiliate Marketing</t>
  </si>
  <si>
    <t>Amazon Associates</t>
  </si>
  <si>
    <t>Lead Generation</t>
  </si>
  <si>
    <t>Lucknow</t>
  </si>
  <si>
    <t>Uttar Pradesh</t>
  </si>
  <si>
    <t>North</t>
  </si>
  <si>
    <t>CMP5003</t>
  </si>
  <si>
    <t>Boat</t>
  </si>
  <si>
    <t>Electronics</t>
  </si>
  <si>
    <t>Email Marketing</t>
  </si>
  <si>
    <t>Mailchimp</t>
  </si>
  <si>
    <t>All</t>
  </si>
  <si>
    <t>Chandigarh</t>
  </si>
  <si>
    <t>Completed</t>
  </si>
  <si>
    <t>CMP5004</t>
  </si>
  <si>
    <t>Milton</t>
  </si>
  <si>
    <t>Home &amp; Kitchen</t>
  </si>
  <si>
    <t>YouTube</t>
  </si>
  <si>
    <t>Sales Conversion</t>
  </si>
  <si>
    <t>35-44</t>
  </si>
  <si>
    <t>Patna</t>
  </si>
  <si>
    <t>Bihar</t>
  </si>
  <si>
    <t>East</t>
  </si>
  <si>
    <t>CMP5005</t>
  </si>
  <si>
    <t>Social Media</t>
  </si>
  <si>
    <t>Customer Retention</t>
  </si>
  <si>
    <t>45-54</t>
  </si>
  <si>
    <t>CMP5006</t>
  </si>
  <si>
    <t>Video Ads</t>
  </si>
  <si>
    <t>Instagram Reels</t>
  </si>
  <si>
    <t>CMP5007</t>
  </si>
  <si>
    <t>CMP5008</t>
  </si>
  <si>
    <t>Home Centre</t>
  </si>
  <si>
    <t>25-34</t>
  </si>
  <si>
    <t>Female</t>
  </si>
  <si>
    <t>Pune</t>
  </si>
  <si>
    <t>Maharashtra</t>
  </si>
  <si>
    <t>West</t>
  </si>
  <si>
    <t>Paused</t>
  </si>
  <si>
    <t>CMP5009</t>
  </si>
  <si>
    <t>Pantene</t>
  </si>
  <si>
    <t>Beauty</t>
  </si>
  <si>
    <t>Search Ads</t>
  </si>
  <si>
    <t>Google Ads</t>
  </si>
  <si>
    <t>CMP5010</t>
  </si>
  <si>
    <t>Website Traffic</t>
  </si>
  <si>
    <t>CMP5011</t>
  </si>
  <si>
    <t>Display Ads</t>
  </si>
  <si>
    <t>Google Display Network</t>
  </si>
  <si>
    <t>18-24</t>
  </si>
  <si>
    <t>Bengaluru</t>
  </si>
  <si>
    <t>Karnataka</t>
  </si>
  <si>
    <t>CMP5012</t>
  </si>
  <si>
    <t>Taboola</t>
  </si>
  <si>
    <t>Kochi</t>
  </si>
  <si>
    <t>Kerala</t>
  </si>
  <si>
    <t>CMP5013</t>
  </si>
  <si>
    <t>Head &amp; Shoulders</t>
  </si>
  <si>
    <t>Jaipur</t>
  </si>
  <si>
    <t>Rajasthan</t>
  </si>
  <si>
    <t>CMP5014</t>
  </si>
  <si>
    <t>Dell</t>
  </si>
  <si>
    <t>CMP5015</t>
  </si>
  <si>
    <t>CMP5016</t>
  </si>
  <si>
    <t>Ahmedabad</t>
  </si>
  <si>
    <t>Gujarat</t>
  </si>
  <si>
    <t>CMP5017</t>
  </si>
  <si>
    <t>Xiaomi</t>
  </si>
  <si>
    <t>Guwahati</t>
  </si>
  <si>
    <t>Assam</t>
  </si>
  <si>
    <t>CMP5018</t>
  </si>
  <si>
    <t>CMP5019</t>
  </si>
  <si>
    <t>Bhopal</t>
  </si>
  <si>
    <t>Madhya Pradesh</t>
  </si>
  <si>
    <t>Central</t>
  </si>
  <si>
    <t>CMP5020</t>
  </si>
  <si>
    <t>CJ Affiliate</t>
  </si>
  <si>
    <t>CMP5021</t>
  </si>
  <si>
    <t>CMP5022</t>
  </si>
  <si>
    <t>Facebook</t>
  </si>
  <si>
    <t>CMP5023</t>
  </si>
  <si>
    <t>CMP5024</t>
  </si>
  <si>
    <t>Nivea</t>
  </si>
  <si>
    <t>Mumbai</t>
  </si>
  <si>
    <t>CMP5025</t>
  </si>
  <si>
    <t>Bing Ads</t>
  </si>
  <si>
    <t>CMP5026</t>
  </si>
  <si>
    <t>HubSpot</t>
  </si>
  <si>
    <t>CMP5027</t>
  </si>
  <si>
    <t>Kolkata</t>
  </si>
  <si>
    <t>West Bengal</t>
  </si>
  <si>
    <t>CMP5028</t>
  </si>
  <si>
    <t>Delhi</t>
  </si>
  <si>
    <t>CMP5029</t>
  </si>
  <si>
    <t>CMP5030</t>
  </si>
  <si>
    <t>CMP5031</t>
  </si>
  <si>
    <t>Chennai</t>
  </si>
  <si>
    <t>Tamil Nadu</t>
  </si>
  <si>
    <t>CMP5032</t>
  </si>
  <si>
    <t>CMP5033</t>
  </si>
  <si>
    <t>CMP5034</t>
  </si>
  <si>
    <t>CMP5035</t>
  </si>
  <si>
    <t>CMP5036</t>
  </si>
  <si>
    <t>CMP5037</t>
  </si>
  <si>
    <t>CMP5038</t>
  </si>
  <si>
    <t>CMP5039</t>
  </si>
  <si>
    <t>CMP5040</t>
  </si>
  <si>
    <t>CMP5041</t>
  </si>
  <si>
    <t>CMP5042</t>
  </si>
  <si>
    <t>CMP5043</t>
  </si>
  <si>
    <t>CMP5044</t>
  </si>
  <si>
    <t>CMP5045</t>
  </si>
  <si>
    <t>CMP5046</t>
  </si>
  <si>
    <t>CMP5047</t>
  </si>
  <si>
    <t>LinkedIn</t>
  </si>
  <si>
    <t>CMP5048</t>
  </si>
  <si>
    <t>CMP5049</t>
  </si>
  <si>
    <t>CMP5050</t>
  </si>
  <si>
    <t>CMP5051</t>
  </si>
  <si>
    <t>CMP5052</t>
  </si>
  <si>
    <t>CMP5053</t>
  </si>
  <si>
    <t>CMP5054</t>
  </si>
  <si>
    <t>CMP5055</t>
  </si>
  <si>
    <t>CMP5056</t>
  </si>
  <si>
    <t>CMP5057</t>
  </si>
  <si>
    <t>CMP5058</t>
  </si>
  <si>
    <t>CMP5059</t>
  </si>
  <si>
    <t>CMP5060</t>
  </si>
  <si>
    <t>CMP5061</t>
  </si>
  <si>
    <t>CMP5062</t>
  </si>
  <si>
    <t>CMP5063</t>
  </si>
  <si>
    <t>CMP5064</t>
  </si>
  <si>
    <t>CMP5065</t>
  </si>
  <si>
    <t>CMP5066</t>
  </si>
  <si>
    <t>CMP5067</t>
  </si>
  <si>
    <t>CMP5068</t>
  </si>
  <si>
    <t>CMP5069</t>
  </si>
  <si>
    <t>CMP5070</t>
  </si>
  <si>
    <t>CMP5071</t>
  </si>
  <si>
    <t>CMP5072</t>
  </si>
  <si>
    <t>CMP5073</t>
  </si>
  <si>
    <t>CMP5074</t>
  </si>
  <si>
    <t>CMP5075</t>
  </si>
  <si>
    <t>CMP5076</t>
  </si>
  <si>
    <t>CMP5077</t>
  </si>
  <si>
    <t>CMP5078</t>
  </si>
  <si>
    <t>CMP5079</t>
  </si>
  <si>
    <t>CMP5080</t>
  </si>
  <si>
    <t>CMP5081</t>
  </si>
  <si>
    <t>CMP5082</t>
  </si>
  <si>
    <t>CMP5083</t>
  </si>
  <si>
    <t>CMP5084</t>
  </si>
  <si>
    <t>CMP5085</t>
  </si>
  <si>
    <t>CMP5086</t>
  </si>
  <si>
    <t>CMP5087</t>
  </si>
  <si>
    <t>CMP5088</t>
  </si>
  <si>
    <t>CMP5089</t>
  </si>
  <si>
    <t>CMP5090</t>
  </si>
  <si>
    <t>CMP5091</t>
  </si>
  <si>
    <t>CMP5092</t>
  </si>
  <si>
    <t>CMP5093</t>
  </si>
  <si>
    <t>CMP5094</t>
  </si>
  <si>
    <t>CMP5095</t>
  </si>
  <si>
    <t>CMP5096</t>
  </si>
  <si>
    <t>CMP5097</t>
  </si>
  <si>
    <t>CMP5098</t>
  </si>
  <si>
    <t>CMP5099</t>
  </si>
  <si>
    <t>CMP5100</t>
  </si>
  <si>
    <t>CMP5101</t>
  </si>
  <si>
    <t>CMP5102</t>
  </si>
  <si>
    <t>CMP5103</t>
  </si>
  <si>
    <t>CMP5104</t>
  </si>
  <si>
    <t>CMP5105</t>
  </si>
  <si>
    <t>CMP5106</t>
  </si>
  <si>
    <t>CMP5107</t>
  </si>
  <si>
    <t>CMP5108</t>
  </si>
  <si>
    <t>CMP5109</t>
  </si>
  <si>
    <t>CMP5110</t>
  </si>
  <si>
    <t>CMP5111</t>
  </si>
  <si>
    <t>CMP5112</t>
  </si>
  <si>
    <t>CMP5113</t>
  </si>
  <si>
    <t>CMP5114</t>
  </si>
  <si>
    <t>CMP5115</t>
  </si>
  <si>
    <t>CMP5116</t>
  </si>
  <si>
    <t>CMP5117</t>
  </si>
  <si>
    <t>CMP5118</t>
  </si>
  <si>
    <t>CMP5119</t>
  </si>
  <si>
    <t>CMP5120</t>
  </si>
  <si>
    <t>CMP5121</t>
  </si>
  <si>
    <t>CMP5122</t>
  </si>
  <si>
    <t>CMP5123</t>
  </si>
  <si>
    <t>CMP5124</t>
  </si>
  <si>
    <t>CMP5125</t>
  </si>
  <si>
    <t>CMP5126</t>
  </si>
  <si>
    <t>CMP5127</t>
  </si>
  <si>
    <t>CMP5128</t>
  </si>
  <si>
    <t>CMP5129</t>
  </si>
  <si>
    <t>CMP5130</t>
  </si>
  <si>
    <t>CMP5131</t>
  </si>
  <si>
    <t>CMP5132</t>
  </si>
  <si>
    <t>CMP5133</t>
  </si>
  <si>
    <t>CMP5134</t>
  </si>
  <si>
    <t>CMP5135</t>
  </si>
  <si>
    <t>CMP5136</t>
  </si>
  <si>
    <t>CMP5137</t>
  </si>
  <si>
    <t>CMP5138</t>
  </si>
  <si>
    <t>CMP5139</t>
  </si>
  <si>
    <t>CMP5140</t>
  </si>
  <si>
    <t>CMP5141</t>
  </si>
  <si>
    <t>CMP5142</t>
  </si>
  <si>
    <t>CMP5143</t>
  </si>
  <si>
    <t>CMP5144</t>
  </si>
  <si>
    <t>CMP5145</t>
  </si>
  <si>
    <t>CMP5146</t>
  </si>
  <si>
    <t>CMP5147</t>
  </si>
  <si>
    <t>CMP5148</t>
  </si>
  <si>
    <t>CMP5149</t>
  </si>
  <si>
    <t>CMP5150</t>
  </si>
  <si>
    <t>Row Labels</t>
  </si>
  <si>
    <t>Grand Total</t>
  </si>
  <si>
    <t>Sum of Revenue (₹)</t>
  </si>
  <si>
    <t>brand</t>
  </si>
  <si>
    <t>Average of CPC (₹)</t>
  </si>
  <si>
    <t>Average of ROI (%)</t>
  </si>
  <si>
    <t>Average of Engagement Rate (%)</t>
  </si>
  <si>
    <t>Average of Conversion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</si>
</sst>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6" x14ac:knownFonts="1">
    <font>
      <sz val="11"/>
      <color theme="1"/>
      <name val="Calibri"/>
      <family val="2"/>
      <scheme val="minor"/>
    </font>
    <font>
      <b/>
      <sz val="11"/>
      <color rgb="FFFFFFFF"/>
      <name val="Arial"/>
    </font>
    <font>
      <sz val="10"/>
      <name val="Arial"/>
    </font>
    <font>
      <sz val="11"/>
      <color theme="1"/>
      <name val="Calibri"/>
      <family val="2"/>
      <scheme val="minor"/>
    </font>
    <font>
      <b/>
      <sz val="11"/>
      <color theme="1"/>
      <name val="Calibri"/>
      <family val="2"/>
      <scheme val="minor"/>
    </font>
    <font>
      <sz val="10"/>
      <name val="Arial"/>
      <family val="2"/>
    </font>
  </fonts>
  <fills count="4">
    <fill>
      <patternFill patternType="none"/>
    </fill>
    <fill>
      <patternFill patternType="gray125"/>
    </fill>
    <fill>
      <patternFill patternType="solid">
        <fgColor rgb="FFC0504D"/>
        <bgColor rgb="FFC0504D"/>
      </patternFill>
    </fill>
    <fill>
      <patternFill patternType="solid">
        <fgColor rgb="FF92D050"/>
        <bgColor indexed="64"/>
      </patternFill>
    </fill>
  </fills>
  <borders count="2">
    <border>
      <left/>
      <right/>
      <top/>
      <bottom/>
      <diagonal/>
    </border>
    <border>
      <left/>
      <right/>
      <top/>
      <bottom style="thin">
        <color theme="4" tint="0.39997558519241921"/>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30">
    <xf numFmtId="0" fontId="0" fillId="0" borderId="0" xfId="0"/>
    <xf numFmtId="0" fontId="1" fillId="2" borderId="0" xfId="0" applyFont="1" applyFill="1" applyAlignment="1">
      <alignment horizontal="center" vertical="center"/>
    </xf>
    <xf numFmtId="0" fontId="0" fillId="0" borderId="0" xfId="0" applyFill="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4" fontId="1" fillId="2" borderId="0" xfId="0" applyNumberFormat="1" applyFont="1" applyFill="1" applyAlignment="1">
      <alignment horizontal="center" vertical="center"/>
    </xf>
    <xf numFmtId="2" fontId="0" fillId="0" borderId="0" xfId="0" applyNumberFormat="1"/>
    <xf numFmtId="9" fontId="0" fillId="0" borderId="0" xfId="0" applyNumberFormat="1"/>
    <xf numFmtId="10" fontId="0" fillId="0" borderId="0" xfId="0" applyNumberFormat="1"/>
    <xf numFmtId="9" fontId="0" fillId="0" borderId="0" xfId="2" applyFont="1"/>
    <xf numFmtId="10" fontId="0" fillId="0" borderId="0" xfId="2" applyNumberFormat="1" applyFont="1"/>
    <xf numFmtId="2" fontId="1" fillId="2" borderId="0" xfId="2" applyNumberFormat="1" applyFont="1" applyFill="1" applyAlignment="1">
      <alignment horizontal="center" vertical="center"/>
    </xf>
    <xf numFmtId="2" fontId="0" fillId="0" borderId="0" xfId="2" applyNumberFormat="1" applyFont="1"/>
    <xf numFmtId="0" fontId="5" fillId="0" borderId="0" xfId="0" applyFont="1"/>
    <xf numFmtId="0" fontId="5" fillId="0" borderId="0" xfId="0" applyNumberFormat="1" applyFont="1"/>
    <xf numFmtId="164" fontId="0" fillId="0" borderId="0" xfId="1" applyNumberFormat="1" applyFont="1"/>
    <xf numFmtId="0" fontId="0" fillId="3" borderId="0" xfId="0" applyFill="1"/>
    <xf numFmtId="0" fontId="4" fillId="0" borderId="1" xfId="0" applyFont="1" applyFill="1" applyBorder="1"/>
    <xf numFmtId="0" fontId="2" fillId="0" borderId="0" xfId="0" applyFont="1" applyAlignment="1">
      <alignment horizontal="center"/>
    </xf>
    <xf numFmtId="14" fontId="2" fillId="0" borderId="0" xfId="0" applyNumberFormat="1" applyFont="1" applyAlignment="1">
      <alignment horizontal="center"/>
    </xf>
    <xf numFmtId="10" fontId="5" fillId="0" borderId="0" xfId="0" applyNumberFormat="1" applyFont="1" applyAlignment="1">
      <alignment horizontal="center"/>
    </xf>
    <xf numFmtId="4" fontId="5" fillId="0" borderId="0" xfId="0" applyNumberFormat="1" applyFont="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0" fontId="0" fillId="0" borderId="0" xfId="0" applyFill="1" applyAlignment="1">
      <alignment horizontal="center"/>
    </xf>
    <xf numFmtId="2" fontId="2" fillId="0" borderId="0" xfId="0" applyNumberFormat="1" applyFont="1" applyAlignment="1">
      <alignment horizontal="center"/>
    </xf>
    <xf numFmtId="10" fontId="5" fillId="0" borderId="0" xfId="2" applyNumberFormat="1" applyFont="1" applyAlignment="1">
      <alignment horizontal="center"/>
    </xf>
    <xf numFmtId="2" fontId="2" fillId="0" borderId="0" xfId="2" applyNumberFormat="1" applyFont="1" applyAlignment="1">
      <alignment horizontal="center"/>
    </xf>
  </cellXfs>
  <cellStyles count="3">
    <cellStyle name="Comma" xfId="1" builtinId="3"/>
    <cellStyle name="Normal" xfId="0" builtinId="0"/>
    <cellStyle name="Percent" xfId="2" builtinId="5"/>
  </cellStyles>
  <dxfs count="59">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numFmt numFmtId="13" formatCode="0%"/>
    </dxf>
    <dxf>
      <numFmt numFmtId="14" formatCode="0.00%"/>
    </dxf>
    <dxf>
      <numFmt numFmtId="14" formatCode="0.00%"/>
    </dxf>
    <dxf>
      <font>
        <b/>
        <i val="0"/>
        <strike val="0"/>
        <condense val="0"/>
        <extend val="0"/>
        <outline val="0"/>
        <shadow val="0"/>
        <u val="none"/>
        <vertAlign val="baseline"/>
        <sz val="11"/>
        <color rgb="FFFFFFFF"/>
        <name val="Arial"/>
        <scheme val="none"/>
      </font>
      <fill>
        <patternFill patternType="solid">
          <fgColor rgb="FFC0504D"/>
          <bgColor rgb="FFC0504D"/>
        </patternFill>
      </fill>
      <alignment horizontal="center" vertical="center" textRotation="0" wrapText="0" indent="0" justifyLastLine="0" shrinkToFit="0" readingOrder="0"/>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b/>
        <i val="0"/>
        <color theme="1"/>
      </font>
      <fill>
        <patternFill>
          <bgColor theme="0"/>
        </patternFill>
      </fill>
    </dxf>
    <dxf>
      <font>
        <b/>
        <i val="0"/>
        <color theme="1"/>
      </font>
      <fill>
        <patternFill>
          <bgColor theme="0"/>
        </patternFill>
      </fill>
    </dxf>
  </dxfs>
  <tableStyles count="9" defaultTableStyle="TableStyleMedium9" defaultPivotStyle="PivotStyleLight16">
    <tableStyle name="Slicer Style 1" pivot="0" table="0" count="0" xr9:uid="{2793E850-6355-4913-B5CD-0CCC7AC03356}"/>
    <tableStyle name="Slicer Style 2" pivot="0" table="0" count="1" xr9:uid="{3364D667-154C-4F6E-B487-F01522F9D406}"/>
    <tableStyle name="Slicer Style 3" pivot="0" table="0" count="1" xr9:uid="{BCAA0370-96A4-40D4-AC07-B19BA1560757}"/>
    <tableStyle name="Slicer Style 4" pivot="0" table="0" count="1" xr9:uid="{701FD5DA-7766-4662-B465-A30515B83ABF}"/>
    <tableStyle name="Slicer Style 5" pivot="0" table="0" count="1" xr9:uid="{BC37AF6B-6FB3-4721-B334-85324FB949D8}">
      <tableStyleElement type="headerRow" dxfId="58"/>
    </tableStyle>
    <tableStyle name="Slicer Style 6" pivot="0" table="0" count="1" xr9:uid="{B1F543A3-4BC1-4E2A-B2AA-59F7BFB8D7E2}">
      <tableStyleElement type="headerRow" dxfId="57"/>
    </tableStyle>
    <tableStyle name="Slicer Style 7" pivot="0" table="0" count="1" xr9:uid="{7342D602-A636-47E9-9D1A-1E4151D5235E}"/>
    <tableStyle name="Slicer Style 8" pivot="0" table="0" count="6" xr9:uid="{93F781C5-C9A5-4D44-A5C3-22413FDD14B7}">
      <tableStyleElement type="wholeTable" dxfId="56"/>
      <tableStyleElement type="headerRow" dxfId="55"/>
    </tableStyle>
    <tableStyle name="Slicer Style 9" pivot="0" table="0" count="6" xr9:uid="{8D1FFFC2-F237-4AD9-83BA-A31FB6385D65}">
      <tableStyleElement type="wholeTable" dxfId="54"/>
      <tableStyleElement type="headerRow" dxfId="53"/>
    </tableStyle>
  </tableStyles>
  <colors>
    <mruColors>
      <color rgb="FF00FF00"/>
      <color rgb="FF21AF21"/>
      <color rgb="FF6E16F0"/>
    </mruColors>
  </colors>
  <extLst>
    <ext xmlns:x14="http://schemas.microsoft.com/office/spreadsheetml/2009/9/main" uri="{46F421CA-312F-682f-3DD2-61675219B42D}">
      <x14:dxfs count="12">
        <dxf>
          <font>
            <color theme="0"/>
          </font>
          <fill>
            <patternFill>
              <bgColor theme="1"/>
            </patternFill>
          </fill>
        </dxf>
        <dxf>
          <font>
            <b/>
            <i val="0"/>
            <color theme="0"/>
          </font>
          <fill>
            <patternFill>
              <bgColor theme="1"/>
            </patternFill>
          </fill>
        </dxf>
        <dxf>
          <font>
            <color theme="1"/>
          </font>
          <fill>
            <patternFill>
              <bgColor theme="0"/>
            </patternFill>
          </fill>
        </dxf>
        <dxf>
          <font>
            <b/>
            <i val="0"/>
            <color theme="1"/>
          </font>
          <fill>
            <patternFill>
              <bgColor theme="0"/>
            </patternFill>
          </fill>
        </dxf>
        <dxf>
          <font>
            <color theme="0"/>
          </font>
          <fill>
            <patternFill>
              <bgColor theme="1"/>
            </patternFill>
          </fill>
        </dxf>
        <dxf>
          <font>
            <color theme="0"/>
          </font>
          <fill>
            <patternFill>
              <bgColor theme="1"/>
            </patternFill>
          </fill>
        </dxf>
        <dxf>
          <font>
            <color theme="1"/>
          </font>
          <fill>
            <patternFill>
              <bgColor theme="0"/>
            </patternFill>
          </fill>
        </dxf>
        <dxf>
          <font>
            <color theme="1"/>
          </font>
          <fill>
            <patternFill>
              <bgColor theme="0"/>
            </patternFill>
          </fill>
        </dxf>
        <dxf>
          <font>
            <b/>
            <i val="0"/>
            <color theme="0"/>
          </font>
          <fill>
            <patternFill>
              <bgColor theme="1"/>
            </patternFill>
          </fill>
        </dxf>
        <dxf>
          <font>
            <color theme="1"/>
          </font>
          <fill>
            <patternFill>
              <bgColor theme="0"/>
            </patternFill>
          </fill>
        </dxf>
        <dxf>
          <font>
            <color theme="0"/>
          </font>
        </dxf>
        <dxf>
          <fill>
            <patternFill>
              <bgColor theme="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1"/>
          </x14:slicerStyleElements>
        </x14:slicerStyle>
        <x14:slicerStyle name="Slicer Style 3">
          <x14:slicerStyleElements>
            <x14:slicerStyleElement type="selectedItemWithData" dxfId="10"/>
          </x14:slicerStyleElements>
        </x14:slicerStyle>
        <x14:slicerStyle name="Slicer Style 4">
          <x14:slicerStyleElements>
            <x14:slicerStyleElement type="unselectedItemWithData" dxfId="9"/>
          </x14:slicerStyleElements>
        </x14:slicerStyle>
        <x14:slicerStyle name="Slicer Style 5"/>
        <x14:slicerStyle name="Slicer Style 6"/>
        <x14:slicerStyle name="Slicer Style 7">
          <x14:slicerStyleElements>
            <x14:slicerStyleElement type="selectedItemWithData" dxfId="8"/>
          </x14:slicerStyleElements>
        </x14:slicerStyle>
        <x14:slicerStyle name="Slicer Style 8">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9">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Boat</c:v>
              </c:pt>
              <c:pt idx="1">
                <c:v>Dell</c:v>
              </c:pt>
              <c:pt idx="2">
                <c:v>Head &amp; Shoulders</c:v>
              </c:pt>
              <c:pt idx="3">
                <c:v>Home Centre</c:v>
              </c:pt>
              <c:pt idx="4">
                <c:v>Milton</c:v>
              </c:pt>
              <c:pt idx="5">
                <c:v>Nivea</c:v>
              </c:pt>
              <c:pt idx="6">
                <c:v>Pantene</c:v>
              </c:pt>
              <c:pt idx="7">
                <c:v>Park Avenue</c:v>
              </c:pt>
              <c:pt idx="8">
                <c:v>Xiaomi</c:v>
              </c:pt>
              <c:pt idx="9">
                <c:v>Zara</c:v>
              </c:pt>
            </c:strLit>
          </c:cat>
          <c:val>
            <c:numLit>
              <c:formatCode>General</c:formatCode>
              <c:ptCount val="10"/>
              <c:pt idx="0">
                <c:v>3004631.9000000004</c:v>
              </c:pt>
              <c:pt idx="1">
                <c:v>3044364.27</c:v>
              </c:pt>
              <c:pt idx="2">
                <c:v>4289738.459999999</c:v>
              </c:pt>
              <c:pt idx="3">
                <c:v>2250671.5</c:v>
              </c:pt>
              <c:pt idx="4">
                <c:v>5697529.0999999996</c:v>
              </c:pt>
              <c:pt idx="5">
                <c:v>1974284.28</c:v>
              </c:pt>
              <c:pt idx="6">
                <c:v>3182527.1499999994</c:v>
              </c:pt>
              <c:pt idx="7">
                <c:v>3603193.7999999993</c:v>
              </c:pt>
              <c:pt idx="8">
                <c:v>3093732.8200000003</c:v>
              </c:pt>
              <c:pt idx="9">
                <c:v>2329755.71</c:v>
              </c:pt>
            </c:numLit>
          </c:val>
          <c:extLst>
            <c:ext xmlns:c16="http://schemas.microsoft.com/office/drawing/2014/chart" uri="{C3380CC4-5D6E-409C-BE32-E72D297353CC}">
              <c16:uniqueId val="{00000000-F909-4254-9C64-32ED60E9039E}"/>
            </c:ext>
          </c:extLst>
        </c:ser>
        <c:dLbls>
          <c:showLegendKey val="0"/>
          <c:showVal val="0"/>
          <c:showCatName val="0"/>
          <c:showSerName val="0"/>
          <c:showPercent val="0"/>
          <c:showBubbleSize val="0"/>
        </c:dLbls>
        <c:gapWidth val="182"/>
        <c:axId val="1122321151"/>
        <c:axId val="1122323551"/>
      </c:barChart>
      <c:catAx>
        <c:axId val="112232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23551"/>
        <c:crosses val="autoZero"/>
        <c:auto val="1"/>
        <c:lblAlgn val="ctr"/>
        <c:lblOffset val="100"/>
        <c:noMultiLvlLbl val="0"/>
      </c:catAx>
      <c:valAx>
        <c:axId val="1122323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2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manualLayout>
          <c:layoutTarget val="inner"/>
          <c:xMode val="edge"/>
          <c:yMode val="edge"/>
          <c:x val="0.12726657005467901"/>
          <c:y val="4.335418810323341E-2"/>
          <c:w val="0.77803921343810234"/>
          <c:h val="0.67438519127954255"/>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E9-483E-A80B-7CF8C0B30F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E9-483E-A80B-7CF8C0B30F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E9-483E-A80B-7CF8C0B30F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E9-483E-A80B-7CF8C0B30F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E9-483E-A80B-7CF8C0B30F8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E9-483E-A80B-7CF8C0B30F8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E9-483E-A80B-7CF8C0B30F8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1E9-483E-A80B-7CF8C0B30F8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1E9-483E-A80B-7CF8C0B30F8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1E9-483E-A80B-7CF8C0B30F8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1E9-483E-A80B-7CF8C0B30F8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1E9-483E-A80B-7CF8C0B30F8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1E9-483E-A80B-7CF8C0B30F8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1E9-483E-A80B-7CF8C0B30F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4"/>
              <c:pt idx="0">
                <c:v>Assam</c:v>
              </c:pt>
              <c:pt idx="1">
                <c:v>Bihar</c:v>
              </c:pt>
              <c:pt idx="2">
                <c:v>Chandigarh</c:v>
              </c:pt>
              <c:pt idx="3">
                <c:v>Delhi</c:v>
              </c:pt>
              <c:pt idx="4">
                <c:v>Gujarat</c:v>
              </c:pt>
              <c:pt idx="5">
                <c:v>Karnataka</c:v>
              </c:pt>
              <c:pt idx="6">
                <c:v>Kerala</c:v>
              </c:pt>
              <c:pt idx="7">
                <c:v>Madhya Pradesh</c:v>
              </c:pt>
              <c:pt idx="8">
                <c:v>Maharashtra</c:v>
              </c:pt>
              <c:pt idx="9">
                <c:v>Rajasthan</c:v>
              </c:pt>
              <c:pt idx="10">
                <c:v>Tamil Nadu</c:v>
              </c:pt>
              <c:pt idx="11">
                <c:v>Telangana</c:v>
              </c:pt>
              <c:pt idx="12">
                <c:v>Uttar Pradesh</c:v>
              </c:pt>
              <c:pt idx="13">
                <c:v>West Bengal</c:v>
              </c:pt>
            </c:strLit>
          </c:cat>
          <c:val>
            <c:numLit>
              <c:formatCode>General</c:formatCode>
              <c:ptCount val="14"/>
              <c:pt idx="0">
                <c:v>9.9332843769736751E-2</c:v>
              </c:pt>
              <c:pt idx="1">
                <c:v>4.5887389429282693E-2</c:v>
              </c:pt>
              <c:pt idx="2">
                <c:v>4.6929275879579332E-2</c:v>
              </c:pt>
              <c:pt idx="3">
                <c:v>3.6680420525605148E-2</c:v>
              </c:pt>
              <c:pt idx="4">
                <c:v>5.1095956893916002E-2</c:v>
              </c:pt>
              <c:pt idx="5">
                <c:v>7.3401065034712387E-2</c:v>
              </c:pt>
              <c:pt idx="6">
                <c:v>5.2301732155217835E-2</c:v>
              </c:pt>
              <c:pt idx="7">
                <c:v>0.10608147835252854</c:v>
              </c:pt>
              <c:pt idx="8">
                <c:v>0.17387651058563983</c:v>
              </c:pt>
              <c:pt idx="9">
                <c:v>9.9260698126058283E-2</c:v>
              </c:pt>
              <c:pt idx="10">
                <c:v>3.4233693689182151E-2</c:v>
              </c:pt>
              <c:pt idx="11">
                <c:v>7.5439146823541858E-2</c:v>
              </c:pt>
              <c:pt idx="12">
                <c:v>4.2251778700629988E-2</c:v>
              </c:pt>
              <c:pt idx="13">
                <c:v>6.3228010034369439E-2</c:v>
              </c:pt>
            </c:numLit>
          </c:val>
          <c:extLst>
            <c:ext xmlns:c16="http://schemas.microsoft.com/office/drawing/2014/chart" uri="{C3380CC4-5D6E-409C-BE32-E72D297353CC}">
              <c16:uniqueId val="{0000001C-71E9-483E-A80B-7CF8C0B30F8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9.939678248503013E-2"/>
          <c:y val="0.73222106316379432"/>
          <c:w val="0.89775481548243274"/>
          <c:h val="0.24004080327363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Series1</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628-421E-A339-BDA5CFF630F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628-421E-A339-BDA5CFF630F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628-421E-A339-BDA5CFF630F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628-421E-A339-BDA5CFF630F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628-421E-A339-BDA5CFF630F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628-421E-A339-BDA5CFF630F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628-421E-A339-BDA5CFF630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Affiliate Marketing</c:v>
              </c:pt>
              <c:pt idx="1">
                <c:v>Display Ads</c:v>
              </c:pt>
              <c:pt idx="2">
                <c:v>Email Marketing</c:v>
              </c:pt>
              <c:pt idx="3">
                <c:v>Influencer Marketing</c:v>
              </c:pt>
              <c:pt idx="4">
                <c:v>Search Ads</c:v>
              </c:pt>
              <c:pt idx="5">
                <c:v>Social Media</c:v>
              </c:pt>
              <c:pt idx="6">
                <c:v>Video Ads</c:v>
              </c:pt>
            </c:strLit>
          </c:cat>
          <c:val>
            <c:numLit>
              <c:formatCode>General</c:formatCode>
              <c:ptCount val="7"/>
              <c:pt idx="0">
                <c:v>8.7897293284267167E-2</c:v>
              </c:pt>
              <c:pt idx="1">
                <c:v>0.14485718255981692</c:v>
              </c:pt>
              <c:pt idx="2">
                <c:v>0.1507021136526106</c:v>
              </c:pt>
              <c:pt idx="3">
                <c:v>0.15320381758836754</c:v>
              </c:pt>
              <c:pt idx="4">
                <c:v>0.20593295524550448</c:v>
              </c:pt>
              <c:pt idx="5">
                <c:v>0.155411095170751</c:v>
              </c:pt>
              <c:pt idx="6">
                <c:v>0.10199554249868263</c:v>
              </c:pt>
            </c:numLit>
          </c:val>
          <c:extLst>
            <c:ext xmlns:c16="http://schemas.microsoft.com/office/drawing/2014/chart" uri="{C3380CC4-5D6E-409C-BE32-E72D297353CC}">
              <c16:uniqueId val="{0000000E-1628-421E-A339-BDA5CFF630FB}"/>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29731037462781"/>
          <c:y val="3.583636845031158E-2"/>
          <c:w val="0.58099303694676507"/>
          <c:h val="0.82763365585473536"/>
        </c:manualLayout>
      </c:layout>
      <c:barChart>
        <c:barDir val="bar"/>
        <c:grouping val="clustered"/>
        <c:varyColors val="0"/>
        <c:ser>
          <c:idx val="0"/>
          <c:order val="0"/>
          <c:tx>
            <c:v>Total</c:v>
          </c:tx>
          <c:spPr>
            <a:solidFill>
              <a:srgbClr val="00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Boat</c:v>
              </c:pt>
              <c:pt idx="1">
                <c:v>Dell</c:v>
              </c:pt>
              <c:pt idx="2">
                <c:v>Head &amp; Shoulders</c:v>
              </c:pt>
              <c:pt idx="3">
                <c:v>Home Centre</c:v>
              </c:pt>
              <c:pt idx="4">
                <c:v>Milton</c:v>
              </c:pt>
              <c:pt idx="5">
                <c:v>Nivea</c:v>
              </c:pt>
              <c:pt idx="6">
                <c:v>Pantene</c:v>
              </c:pt>
              <c:pt idx="7">
                <c:v>Park Avenue</c:v>
              </c:pt>
              <c:pt idx="8">
                <c:v>Xiaomi</c:v>
              </c:pt>
              <c:pt idx="9">
                <c:v>Zara</c:v>
              </c:pt>
            </c:strLit>
          </c:cat>
          <c:val>
            <c:numLit>
              <c:formatCode>General</c:formatCode>
              <c:ptCount val="10"/>
              <c:pt idx="0">
                <c:v>3004631.9000000004</c:v>
              </c:pt>
              <c:pt idx="1">
                <c:v>3044364.27</c:v>
              </c:pt>
              <c:pt idx="2">
                <c:v>4289738.459999999</c:v>
              </c:pt>
              <c:pt idx="3">
                <c:v>2250671.5</c:v>
              </c:pt>
              <c:pt idx="4">
                <c:v>5697529.0999999996</c:v>
              </c:pt>
              <c:pt idx="5">
                <c:v>1974284.28</c:v>
              </c:pt>
              <c:pt idx="6">
                <c:v>3182527.1499999994</c:v>
              </c:pt>
              <c:pt idx="7">
                <c:v>3603193.7999999993</c:v>
              </c:pt>
              <c:pt idx="8">
                <c:v>3093732.8200000003</c:v>
              </c:pt>
              <c:pt idx="9">
                <c:v>2329755.71</c:v>
              </c:pt>
            </c:numLit>
          </c:val>
          <c:extLst>
            <c:ext xmlns:c16="http://schemas.microsoft.com/office/drawing/2014/chart" uri="{C3380CC4-5D6E-409C-BE32-E72D297353CC}">
              <c16:uniqueId val="{00000005-0DC4-4EBB-9AF2-2271391C7FED}"/>
            </c:ext>
          </c:extLst>
        </c:ser>
        <c:dLbls>
          <c:dLblPos val="outEnd"/>
          <c:showLegendKey val="0"/>
          <c:showVal val="1"/>
          <c:showCatName val="0"/>
          <c:showSerName val="0"/>
          <c:showPercent val="0"/>
          <c:showBubbleSize val="0"/>
        </c:dLbls>
        <c:gapWidth val="182"/>
        <c:axId val="1122321151"/>
        <c:axId val="1122323551"/>
      </c:barChart>
      <c:catAx>
        <c:axId val="11223211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122323551"/>
        <c:crosses val="autoZero"/>
        <c:auto val="1"/>
        <c:lblAlgn val="ctr"/>
        <c:lblOffset val="100"/>
        <c:noMultiLvlLbl val="0"/>
      </c:catAx>
      <c:valAx>
        <c:axId val="11223235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21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rgbClr val="00FF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FF00"/>
          </a:solidFill>
          <a:ln w="25400">
            <a:solidFill>
              <a:schemeClr val="lt1"/>
            </a:solidFill>
          </a:ln>
          <a:effectLst/>
          <a:sp3d contourW="25400">
            <a:contourClr>
              <a:schemeClr val="lt1"/>
            </a:contourClr>
          </a:sp3d>
        </c:spPr>
        <c:dLbl>
          <c:idx val="0"/>
          <c:layout>
            <c:manualLayout>
              <c:x val="-6.0604804497126338E-2"/>
              <c:y val="-2.753596143080033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w="25400">
            <a:solidFill>
              <a:schemeClr val="lt1"/>
            </a:solidFill>
          </a:ln>
          <a:effectLst/>
          <a:sp3d contourW="25400">
            <a:contourClr>
              <a:schemeClr val="lt1"/>
            </a:contourClr>
          </a:sp3d>
        </c:spPr>
        <c:dLbl>
          <c:idx val="0"/>
          <c:layout>
            <c:manualLayout>
              <c:x val="-1.0332882035050325E-2"/>
              <c:y val="-2.392848142021367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w="25400">
            <a:solidFill>
              <a:schemeClr val="lt1"/>
            </a:solidFill>
          </a:ln>
          <a:effectLst/>
          <a:sp3d contourW="25400">
            <a:contourClr>
              <a:schemeClr val="lt1"/>
            </a:contourClr>
          </a:sp3d>
        </c:spPr>
        <c:dLbl>
          <c:idx val="0"/>
          <c:layout>
            <c:manualLayout>
              <c:x val="-2.4499321909083216E-4"/>
              <c:y val="-1.2243884997076493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FF00"/>
          </a:solidFill>
          <a:ln w="25400">
            <a:solidFill>
              <a:schemeClr val="lt1"/>
            </a:solidFill>
          </a:ln>
          <a:effectLst/>
          <a:sp3d contourW="25400">
            <a:contourClr>
              <a:schemeClr val="lt1"/>
            </a:contourClr>
          </a:sp3d>
        </c:spPr>
        <c:dLbl>
          <c:idx val="0"/>
          <c:layout>
            <c:manualLayout>
              <c:x val="1.1105311064202516E-2"/>
              <c:y val="-4.740898231191483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w="25400">
            <a:solidFill>
              <a:schemeClr val="lt1"/>
            </a:solidFill>
          </a:ln>
          <a:effectLst/>
          <a:sp3d contourW="25400">
            <a:contourClr>
              <a:schemeClr val="lt1"/>
            </a:contourClr>
          </a:sp3d>
        </c:spPr>
        <c:dLbl>
          <c:idx val="0"/>
          <c:layout>
            <c:manualLayout>
              <c:x val="2.7872624108932816E-4"/>
              <c:y val="1.4024813723924716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solidFill>
          <a:ln w="25400">
            <a:solidFill>
              <a:schemeClr val="lt1"/>
            </a:solidFill>
          </a:ln>
          <a:effectLst/>
          <a:sp3d contourW="25400">
            <a:contourClr>
              <a:schemeClr val="lt1"/>
            </a:contourClr>
          </a:sp3d>
        </c:spPr>
        <c:dLbl>
          <c:idx val="0"/>
          <c:layout>
            <c:manualLayout>
              <c:x val="5.8815524965866693E-3"/>
              <c:y val="-1.187230850962374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E16F0"/>
          </a:solidFill>
          <a:ln w="25400">
            <a:solidFill>
              <a:schemeClr val="lt1"/>
            </a:solidFill>
          </a:ln>
          <a:effectLst/>
          <a:sp3d contourW="25400">
            <a:contourClr>
              <a:schemeClr val="lt1"/>
            </a:contourClr>
          </a:sp3d>
        </c:spPr>
        <c:dLbl>
          <c:idx val="0"/>
          <c:layout>
            <c:manualLayout>
              <c:x val="1.4923574694058642E-2"/>
              <c:y val="-2.195654259071811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423831153786702E-2"/>
          <c:y val="0"/>
          <c:w val="0.78643030276953096"/>
          <c:h val="1"/>
        </c:manualLayout>
      </c:layout>
      <c:pie3DChart>
        <c:varyColors val="1"/>
        <c:ser>
          <c:idx val="0"/>
          <c:order val="0"/>
          <c:tx>
            <c:v>Total</c:v>
          </c:tx>
          <c:spPr>
            <a:solidFill>
              <a:srgbClr val="00FF00"/>
            </a:solidFill>
          </c:spPr>
          <c:dPt>
            <c:idx val="0"/>
            <c:bubble3D val="0"/>
            <c:spPr>
              <a:solidFill>
                <a:srgbClr val="00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5E-4FBC-9457-9284052E61E4}"/>
              </c:ext>
            </c:extLst>
          </c:dPt>
          <c:dPt>
            <c:idx val="1"/>
            <c:bubble3D val="0"/>
            <c:spPr>
              <a:solidFill>
                <a:schemeClr val="accent5">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5E-4FBC-9457-9284052E61E4}"/>
              </c:ext>
            </c:extLst>
          </c:dPt>
          <c:dPt>
            <c:idx val="2"/>
            <c:bubble3D val="0"/>
            <c:spPr>
              <a:solidFill>
                <a:srgbClr val="00B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5-DF5E-4FBC-9457-9284052E61E4}"/>
              </c:ext>
            </c:extLst>
          </c:dPt>
          <c:dPt>
            <c:idx val="3"/>
            <c:bubble3D val="0"/>
            <c:spPr>
              <a:solidFill>
                <a:srgbClr val="00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7-DF5E-4FBC-9457-9284052E61E4}"/>
              </c:ext>
            </c:extLst>
          </c:dPt>
          <c:dPt>
            <c:idx val="4"/>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9-DF5E-4FBC-9457-9284052E61E4}"/>
              </c:ext>
            </c:extLst>
          </c:dPt>
          <c:dPt>
            <c:idx val="5"/>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B-DF5E-4FBC-9457-9284052E61E4}"/>
              </c:ext>
            </c:extLst>
          </c:dPt>
          <c:dPt>
            <c:idx val="6"/>
            <c:bubble3D val="0"/>
            <c:spPr>
              <a:solidFill>
                <a:srgbClr val="6E16F0"/>
              </a:solidFill>
              <a:ln w="25400">
                <a:solidFill>
                  <a:schemeClr val="lt1"/>
                </a:solidFill>
              </a:ln>
              <a:effectLst/>
              <a:sp3d contourW="25400">
                <a:contourClr>
                  <a:schemeClr val="lt1"/>
                </a:contourClr>
              </a:sp3d>
            </c:spPr>
            <c:extLst>
              <c:ext xmlns:c16="http://schemas.microsoft.com/office/drawing/2014/chart" uri="{C3380CC4-5D6E-409C-BE32-E72D297353CC}">
                <c16:uniqueId val="{0000000D-DF5E-4FBC-9457-9284052E61E4}"/>
              </c:ext>
            </c:extLst>
          </c:dPt>
          <c:dLbls>
            <c:dLbl>
              <c:idx val="0"/>
              <c:layout>
                <c:manualLayout>
                  <c:x val="-6.0604804497126338E-2"/>
                  <c:y val="-2.75359614308003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5E-4FBC-9457-9284052E61E4}"/>
                </c:ext>
              </c:extLst>
            </c:dLbl>
            <c:dLbl>
              <c:idx val="1"/>
              <c:layout>
                <c:manualLayout>
                  <c:x val="-1.0332882035050325E-2"/>
                  <c:y val="-2.39284814202136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5E-4FBC-9457-9284052E61E4}"/>
                </c:ext>
              </c:extLst>
            </c:dLbl>
            <c:dLbl>
              <c:idx val="2"/>
              <c:layout>
                <c:manualLayout>
                  <c:x val="-2.4499321909083216E-4"/>
                  <c:y val="-1.224388499707649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5E-4FBC-9457-9284052E61E4}"/>
                </c:ext>
              </c:extLst>
            </c:dLbl>
            <c:dLbl>
              <c:idx val="3"/>
              <c:layout>
                <c:manualLayout>
                  <c:x val="1.1105311064202516E-2"/>
                  <c:y val="-4.74089823119148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5E-4FBC-9457-9284052E61E4}"/>
                </c:ext>
              </c:extLst>
            </c:dLbl>
            <c:dLbl>
              <c:idx val="4"/>
              <c:layout>
                <c:manualLayout>
                  <c:x val="2.7872624108932816E-4"/>
                  <c:y val="1.402481372392471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F5E-4FBC-9457-9284052E61E4}"/>
                </c:ext>
              </c:extLst>
            </c:dLbl>
            <c:dLbl>
              <c:idx val="5"/>
              <c:layout>
                <c:manualLayout>
                  <c:x val="5.8815524965866693E-3"/>
                  <c:y val="-1.187230850962374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F5E-4FBC-9457-9284052E61E4}"/>
                </c:ext>
              </c:extLst>
            </c:dLbl>
            <c:dLbl>
              <c:idx val="6"/>
              <c:layout>
                <c:manualLayout>
                  <c:x val="1.4923574694058642E-2"/>
                  <c:y val="-2.19565425907181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F5E-4FBC-9457-9284052E61E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Affiliate Marketing</c:v>
              </c:pt>
              <c:pt idx="1">
                <c:v>Display Ads</c:v>
              </c:pt>
              <c:pt idx="2">
                <c:v>Email Marketing</c:v>
              </c:pt>
              <c:pt idx="3">
                <c:v>Influencer Marketing</c:v>
              </c:pt>
              <c:pt idx="4">
                <c:v>Search Ads</c:v>
              </c:pt>
              <c:pt idx="5">
                <c:v>Social Media</c:v>
              </c:pt>
              <c:pt idx="6">
                <c:v>Video Ads</c:v>
              </c:pt>
            </c:strLit>
          </c:cat>
          <c:val>
            <c:numLit>
              <c:formatCode>General</c:formatCode>
              <c:ptCount val="7"/>
              <c:pt idx="0">
                <c:v>8.7897293284267167E-2</c:v>
              </c:pt>
              <c:pt idx="1">
                <c:v>0.14485718255981692</c:v>
              </c:pt>
              <c:pt idx="2">
                <c:v>0.1507021136526106</c:v>
              </c:pt>
              <c:pt idx="3">
                <c:v>0.15320381758836754</c:v>
              </c:pt>
              <c:pt idx="4">
                <c:v>0.20593295524550448</c:v>
              </c:pt>
              <c:pt idx="5">
                <c:v>0.155411095170751</c:v>
              </c:pt>
              <c:pt idx="6">
                <c:v>0.10199554249868263</c:v>
              </c:pt>
            </c:numLit>
          </c:val>
          <c:extLst>
            <c:ext xmlns:c16="http://schemas.microsoft.com/office/drawing/2014/chart" uri="{C3380CC4-5D6E-409C-BE32-E72D297353CC}">
              <c16:uniqueId val="{00000013-659F-492B-9A3A-481001B943E4}"/>
            </c:ext>
          </c:extLst>
        </c:ser>
        <c:dLbls>
          <c:dLblPos val="bestFit"/>
          <c:showLegendKey val="0"/>
          <c:showVal val="1"/>
          <c:showCatName val="0"/>
          <c:showSerName val="0"/>
          <c:showPercent val="0"/>
          <c:showBubbleSize val="0"/>
          <c:showLeaderLines val="1"/>
        </c:dLbls>
      </c:pie3DChart>
      <c:spPr>
        <a:solidFill>
          <a:schemeClr val="bg1"/>
        </a:solidFill>
        <a:ln>
          <a:noFill/>
        </a:ln>
        <a:effectLst/>
      </c:spPr>
    </c:plotArea>
    <c:legend>
      <c:legendPos val="r"/>
      <c:layout>
        <c:manualLayout>
          <c:xMode val="edge"/>
          <c:yMode val="edge"/>
          <c:x val="3.3016130780692383E-2"/>
          <c:y val="0.7187405580622892"/>
          <c:w val="0.91949852866559034"/>
          <c:h val="0.2812594419377107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85000"/>
              <a:lumOff val="15000"/>
            </a:schemeClr>
          </a:solidFill>
          <a:ln w="19050">
            <a:solidFill>
              <a:schemeClr val="lt1"/>
            </a:solidFill>
          </a:ln>
          <a:effectLst/>
        </c:spPr>
      </c:pivotFmt>
      <c:pivotFmt>
        <c:idx val="18"/>
        <c:spPr>
          <a:solidFill>
            <a:srgbClr val="00FF00"/>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rgbClr val="00FF00"/>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rgbClr val="92D050"/>
          </a:solidFill>
          <a:ln w="19050">
            <a:solidFill>
              <a:schemeClr val="lt1"/>
            </a:solidFill>
          </a:ln>
          <a:effectLst/>
        </c:spPr>
      </c:pivotFmt>
      <c:pivotFmt>
        <c:idx val="25"/>
        <c:spPr>
          <a:solidFill>
            <a:srgbClr val="00FF00"/>
          </a:solidFill>
          <a:ln w="19050">
            <a:solidFill>
              <a:schemeClr val="lt1"/>
            </a:solidFill>
          </a:ln>
          <a:effectLst/>
        </c:spPr>
      </c:pivotFmt>
      <c:pivotFmt>
        <c:idx val="26"/>
        <c:spPr>
          <a:solidFill>
            <a:schemeClr val="accent3">
              <a:lumMod val="75000"/>
            </a:schemeClr>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rgbClr val="00FF00"/>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rgbClr val="21AF21"/>
          </a:solidFill>
          <a:ln w="19050">
            <a:solidFill>
              <a:schemeClr val="lt1"/>
            </a:solidFill>
          </a:ln>
          <a:effectLst/>
        </c:spPr>
      </c:pivotFmt>
    </c:pivotFmts>
    <c:plotArea>
      <c:layout>
        <c:manualLayout>
          <c:layoutTarget val="inner"/>
          <c:xMode val="edge"/>
          <c:yMode val="edge"/>
          <c:x val="4.8143433139738713E-2"/>
          <c:y val="6.2519937460371225E-2"/>
          <c:w val="0.90222902185682419"/>
          <c:h val="0.63026521252840484"/>
        </c:manualLayout>
      </c:layout>
      <c:doughnutChart>
        <c:varyColors val="1"/>
        <c:ser>
          <c:idx val="0"/>
          <c:order val="0"/>
          <c:tx>
            <c:v>Total</c:v>
          </c:tx>
          <c:dPt>
            <c:idx val="0"/>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1-3BB0-4278-883A-425EAC288150}"/>
              </c:ext>
            </c:extLst>
          </c:dPt>
          <c:dPt>
            <c:idx val="1"/>
            <c:bubble3D val="0"/>
            <c:spPr>
              <a:solidFill>
                <a:srgbClr val="00FF00"/>
              </a:solidFill>
              <a:ln w="19050">
                <a:solidFill>
                  <a:schemeClr val="lt1"/>
                </a:solidFill>
              </a:ln>
              <a:effectLst/>
            </c:spPr>
            <c:extLst>
              <c:ext xmlns:c16="http://schemas.microsoft.com/office/drawing/2014/chart" uri="{C3380CC4-5D6E-409C-BE32-E72D297353CC}">
                <c16:uniqueId val="{00000003-3BB0-4278-883A-425EAC2881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B0-4278-883A-425EAC2881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B0-4278-883A-425EAC288150}"/>
              </c:ext>
            </c:extLst>
          </c:dPt>
          <c:dPt>
            <c:idx val="4"/>
            <c:bubble3D val="0"/>
            <c:spPr>
              <a:solidFill>
                <a:srgbClr val="00FF00"/>
              </a:solidFill>
              <a:ln w="19050">
                <a:solidFill>
                  <a:schemeClr val="lt1"/>
                </a:solidFill>
              </a:ln>
              <a:effectLst/>
            </c:spPr>
            <c:extLst>
              <c:ext xmlns:c16="http://schemas.microsoft.com/office/drawing/2014/chart" uri="{C3380CC4-5D6E-409C-BE32-E72D297353CC}">
                <c16:uniqueId val="{00000009-3BB0-4278-883A-425EAC28815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BB0-4278-883A-425EAC28815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BB0-4278-883A-425EAC288150}"/>
              </c:ext>
            </c:extLst>
          </c:dPt>
          <c:dPt>
            <c:idx val="7"/>
            <c:bubble3D val="0"/>
            <c:spPr>
              <a:solidFill>
                <a:srgbClr val="92D050"/>
              </a:solidFill>
              <a:ln w="19050">
                <a:solidFill>
                  <a:schemeClr val="lt1"/>
                </a:solidFill>
              </a:ln>
              <a:effectLst/>
            </c:spPr>
            <c:extLst>
              <c:ext xmlns:c16="http://schemas.microsoft.com/office/drawing/2014/chart" uri="{C3380CC4-5D6E-409C-BE32-E72D297353CC}">
                <c16:uniqueId val="{0000000F-3BB0-4278-883A-425EAC288150}"/>
              </c:ext>
            </c:extLst>
          </c:dPt>
          <c:dPt>
            <c:idx val="8"/>
            <c:bubble3D val="0"/>
            <c:spPr>
              <a:solidFill>
                <a:srgbClr val="00FF00"/>
              </a:solidFill>
              <a:ln w="19050">
                <a:solidFill>
                  <a:schemeClr val="lt1"/>
                </a:solidFill>
              </a:ln>
              <a:effectLst/>
            </c:spPr>
            <c:extLst>
              <c:ext xmlns:c16="http://schemas.microsoft.com/office/drawing/2014/chart" uri="{C3380CC4-5D6E-409C-BE32-E72D297353CC}">
                <c16:uniqueId val="{00000011-3BB0-4278-883A-425EAC288150}"/>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3BB0-4278-883A-425EAC28815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BB0-4278-883A-425EAC288150}"/>
              </c:ext>
            </c:extLst>
          </c:dPt>
          <c:dPt>
            <c:idx val="11"/>
            <c:bubble3D val="0"/>
            <c:spPr>
              <a:solidFill>
                <a:srgbClr val="00FF00"/>
              </a:solidFill>
              <a:ln w="19050">
                <a:solidFill>
                  <a:schemeClr val="lt1"/>
                </a:solidFill>
              </a:ln>
              <a:effectLst/>
            </c:spPr>
            <c:extLst>
              <c:ext xmlns:c16="http://schemas.microsoft.com/office/drawing/2014/chart" uri="{C3380CC4-5D6E-409C-BE32-E72D297353CC}">
                <c16:uniqueId val="{00000017-3BB0-4278-883A-425EAC28815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BB0-4278-883A-425EAC288150}"/>
              </c:ext>
            </c:extLst>
          </c:dPt>
          <c:dPt>
            <c:idx val="13"/>
            <c:bubble3D val="0"/>
            <c:spPr>
              <a:solidFill>
                <a:srgbClr val="21AF21"/>
              </a:solidFill>
              <a:ln w="19050">
                <a:solidFill>
                  <a:schemeClr val="lt1"/>
                </a:solidFill>
              </a:ln>
              <a:effectLst/>
            </c:spPr>
            <c:extLst>
              <c:ext xmlns:c16="http://schemas.microsoft.com/office/drawing/2014/chart" uri="{C3380CC4-5D6E-409C-BE32-E72D297353CC}">
                <c16:uniqueId val="{0000001B-3BB0-4278-883A-425EAC28815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4"/>
              <c:pt idx="0">
                <c:v>Assam</c:v>
              </c:pt>
              <c:pt idx="1">
                <c:v>Bihar</c:v>
              </c:pt>
              <c:pt idx="2">
                <c:v>Chandigarh</c:v>
              </c:pt>
              <c:pt idx="3">
                <c:v>Delhi</c:v>
              </c:pt>
              <c:pt idx="4">
                <c:v>Gujarat</c:v>
              </c:pt>
              <c:pt idx="5">
                <c:v>Karnataka</c:v>
              </c:pt>
              <c:pt idx="6">
                <c:v>Kerala</c:v>
              </c:pt>
              <c:pt idx="7">
                <c:v>Madhya Pradesh</c:v>
              </c:pt>
              <c:pt idx="8">
                <c:v>Maharashtra</c:v>
              </c:pt>
              <c:pt idx="9">
                <c:v>Rajasthan</c:v>
              </c:pt>
              <c:pt idx="10">
                <c:v>Tamil Nadu</c:v>
              </c:pt>
              <c:pt idx="11">
                <c:v>Telangana</c:v>
              </c:pt>
              <c:pt idx="12">
                <c:v>Uttar Pradesh</c:v>
              </c:pt>
              <c:pt idx="13">
                <c:v>West Bengal</c:v>
              </c:pt>
            </c:strLit>
          </c:cat>
          <c:val>
            <c:numLit>
              <c:formatCode>General</c:formatCode>
              <c:ptCount val="14"/>
              <c:pt idx="0">
                <c:v>9.9332843769736751E-2</c:v>
              </c:pt>
              <c:pt idx="1">
                <c:v>4.5887389429282693E-2</c:v>
              </c:pt>
              <c:pt idx="2">
                <c:v>4.6929275879579332E-2</c:v>
              </c:pt>
              <c:pt idx="3">
                <c:v>3.6680420525605148E-2</c:v>
              </c:pt>
              <c:pt idx="4">
                <c:v>5.1095956893916002E-2</c:v>
              </c:pt>
              <c:pt idx="5">
                <c:v>7.3401065034712387E-2</c:v>
              </c:pt>
              <c:pt idx="6">
                <c:v>5.2301732155217835E-2</c:v>
              </c:pt>
              <c:pt idx="7">
                <c:v>0.10608147835252854</c:v>
              </c:pt>
              <c:pt idx="8">
                <c:v>0.17387651058563983</c:v>
              </c:pt>
              <c:pt idx="9">
                <c:v>9.9260698126058283E-2</c:v>
              </c:pt>
              <c:pt idx="10">
                <c:v>3.4233693689182151E-2</c:v>
              </c:pt>
              <c:pt idx="11">
                <c:v>7.5439146823541858E-2</c:v>
              </c:pt>
              <c:pt idx="12">
                <c:v>4.2251778700629988E-2</c:v>
              </c:pt>
              <c:pt idx="13">
                <c:v>6.3228010034369439E-2</c:v>
              </c:pt>
            </c:numLit>
          </c:val>
          <c:extLst>
            <c:ext xmlns:c16="http://schemas.microsoft.com/office/drawing/2014/chart" uri="{C3380CC4-5D6E-409C-BE32-E72D297353CC}">
              <c16:uniqueId val="{0000001F-AB45-4671-889C-C9496B69E6A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7.221444500312009E-2"/>
          <c:y val="0.72184299612590719"/>
          <c:w val="0.8237718338573542"/>
          <c:h val="0.278157003874092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8</xdr:col>
      <xdr:colOff>119063</xdr:colOff>
      <xdr:row>11</xdr:row>
      <xdr:rowOff>42863</xdr:rowOff>
    </xdr:to>
    <xdr:graphicFrame macro="">
      <xdr:nvGraphicFramePr>
        <xdr:cNvPr id="2" name="Chart 1">
          <a:extLst>
            <a:ext uri="{FF2B5EF4-FFF2-40B4-BE49-F238E27FC236}">
              <a16:creationId xmlns:a16="http://schemas.microsoft.com/office/drawing/2014/main" id="{2DB31A55-B7E4-4DED-BB8B-59C565B12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200025</xdr:colOff>
      <xdr:row>45</xdr:row>
      <xdr:rowOff>19049</xdr:rowOff>
    </xdr:from>
    <xdr:to>
      <xdr:col>12</xdr:col>
      <xdr:colOff>200025</xdr:colOff>
      <xdr:row>58</xdr:row>
      <xdr:rowOff>76200</xdr:rowOff>
    </xdr:to>
    <mc:AlternateContent xmlns:mc="http://schemas.openxmlformats.org/markup-compatibility/2006" xmlns:a14="http://schemas.microsoft.com/office/drawing/2010/main">
      <mc:Choice Requires="a14">
        <xdr:graphicFrame macro="">
          <xdr:nvGraphicFramePr>
            <xdr:cNvPr id="3" name="Campaign Date (Quarter) 2">
              <a:extLst>
                <a:ext uri="{FF2B5EF4-FFF2-40B4-BE49-F238E27FC236}">
                  <a16:creationId xmlns:a16="http://schemas.microsoft.com/office/drawing/2014/main" id="{DCD68D9C-1C7C-44DC-9276-73B2E3649879}"/>
                </a:ext>
              </a:extLst>
            </xdr:cNvPr>
            <xdr:cNvGraphicFramePr/>
          </xdr:nvGraphicFramePr>
          <xdr:xfrm>
            <a:off x="0" y="0"/>
            <a:ext cx="0" cy="0"/>
          </xdr:xfrm>
          <a:graphic>
            <a:graphicData uri="http://schemas.microsoft.com/office/drawing/2010/slicer">
              <sle:slicer xmlns:sle="http://schemas.microsoft.com/office/drawing/2010/slicer" name="Campaign Date (Quarter) 2"/>
            </a:graphicData>
          </a:graphic>
        </xdr:graphicFrame>
      </mc:Choice>
      <mc:Fallback xmlns="">
        <xdr:sp macro="" textlink="">
          <xdr:nvSpPr>
            <xdr:cNvPr id="0" name=""/>
            <xdr:cNvSpPr>
              <a:spLocks noTextEdit="1"/>
            </xdr:cNvSpPr>
          </xdr:nvSpPr>
          <xdr:spPr>
            <a:xfrm>
              <a:off x="7858125" y="8591549"/>
              <a:ext cx="1828800" cy="2533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409575</xdr:colOff>
      <xdr:row>14</xdr:row>
      <xdr:rowOff>123825</xdr:rowOff>
    </xdr:from>
    <xdr:to>
      <xdr:col>13</xdr:col>
      <xdr:colOff>247650</xdr:colOff>
      <xdr:row>29</xdr:row>
      <xdr:rowOff>83746</xdr:rowOff>
    </xdr:to>
    <xdr:graphicFrame macro="">
      <xdr:nvGraphicFramePr>
        <xdr:cNvPr id="4" name="Chart 3">
          <a:extLst>
            <a:ext uri="{FF2B5EF4-FFF2-40B4-BE49-F238E27FC236}">
              <a16:creationId xmlns:a16="http://schemas.microsoft.com/office/drawing/2014/main" id="{10CA0DA3-B2C4-4B69-9648-B81E78712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33</xdr:row>
      <xdr:rowOff>0</xdr:rowOff>
    </xdr:from>
    <xdr:to>
      <xdr:col>8</xdr:col>
      <xdr:colOff>116681</xdr:colOff>
      <xdr:row>42</xdr:row>
      <xdr:rowOff>38100</xdr:rowOff>
    </xdr:to>
    <xdr:graphicFrame macro="">
      <xdr:nvGraphicFramePr>
        <xdr:cNvPr id="5" name="Chart 4">
          <a:extLst>
            <a:ext uri="{FF2B5EF4-FFF2-40B4-BE49-F238E27FC236}">
              <a16:creationId xmlns:a16="http://schemas.microsoft.com/office/drawing/2014/main" id="{784E75A5-615B-4E0F-B98F-FBB9546D8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776288</xdr:colOff>
      <xdr:row>45</xdr:row>
      <xdr:rowOff>19050</xdr:rowOff>
    </xdr:from>
    <xdr:to>
      <xdr:col>4</xdr:col>
      <xdr:colOff>133351</xdr:colOff>
      <xdr:row>58</xdr:row>
      <xdr:rowOff>66675</xdr:rowOff>
    </xdr:to>
    <mc:AlternateContent xmlns:mc="http://schemas.openxmlformats.org/markup-compatibility/2006" xmlns:a14="http://schemas.microsoft.com/office/drawing/2010/main">
      <mc:Choice Requires="a14">
        <xdr:graphicFrame macro="">
          <xdr:nvGraphicFramePr>
            <xdr:cNvPr id="6" name="Category 6">
              <a:extLst>
                <a:ext uri="{FF2B5EF4-FFF2-40B4-BE49-F238E27FC236}">
                  <a16:creationId xmlns:a16="http://schemas.microsoft.com/office/drawing/2014/main" id="{7BB09C1F-F719-4084-B6A6-FA0C57B6F22E}"/>
                </a:ext>
              </a:extLst>
            </xdr:cNvPr>
            <xdr:cNvGraphicFramePr/>
          </xdr:nvGraphicFramePr>
          <xdr:xfrm>
            <a:off x="0" y="0"/>
            <a:ext cx="0" cy="0"/>
          </xdr:xfrm>
          <a:graphic>
            <a:graphicData uri="http://schemas.microsoft.com/office/drawing/2010/slicer">
              <sle:slicer xmlns:sle="http://schemas.microsoft.com/office/drawing/2010/slicer" name="Category 6"/>
            </a:graphicData>
          </a:graphic>
        </xdr:graphicFrame>
      </mc:Choice>
      <mc:Fallback xmlns="">
        <xdr:sp macro="" textlink="">
          <xdr:nvSpPr>
            <xdr:cNvPr id="0" name=""/>
            <xdr:cNvSpPr>
              <a:spLocks noTextEdit="1"/>
            </xdr:cNvSpPr>
          </xdr:nvSpPr>
          <xdr:spPr>
            <a:xfrm>
              <a:off x="2100263" y="8591550"/>
              <a:ext cx="183356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180975</xdr:rowOff>
    </xdr:from>
    <xdr:to>
      <xdr:col>1</xdr:col>
      <xdr:colOff>502055</xdr:colOff>
      <xdr:row>58</xdr:row>
      <xdr:rowOff>38100</xdr:rowOff>
    </xdr:to>
    <mc:AlternateContent xmlns:mc="http://schemas.openxmlformats.org/markup-compatibility/2006" xmlns:a14="http://schemas.microsoft.com/office/drawing/2010/main">
      <mc:Choice Requires="a14">
        <xdr:graphicFrame macro="">
          <xdr:nvGraphicFramePr>
            <xdr:cNvPr id="7" name="Platform 6">
              <a:extLst>
                <a:ext uri="{FF2B5EF4-FFF2-40B4-BE49-F238E27FC236}">
                  <a16:creationId xmlns:a16="http://schemas.microsoft.com/office/drawing/2014/main" id="{303212A8-48B0-4D3E-87BE-C59FE9D37439}"/>
                </a:ext>
              </a:extLst>
            </xdr:cNvPr>
            <xdr:cNvGraphicFramePr/>
          </xdr:nvGraphicFramePr>
          <xdr:xfrm>
            <a:off x="0" y="0"/>
            <a:ext cx="0" cy="0"/>
          </xdr:xfrm>
          <a:graphic>
            <a:graphicData uri="http://schemas.microsoft.com/office/drawing/2010/slicer">
              <sle:slicer xmlns:sle="http://schemas.microsoft.com/office/drawing/2010/slicer" name="Platform 6"/>
            </a:graphicData>
          </a:graphic>
        </xdr:graphicFrame>
      </mc:Choice>
      <mc:Fallback xmlns="">
        <xdr:sp macro="" textlink="">
          <xdr:nvSpPr>
            <xdr:cNvPr id="0" name=""/>
            <xdr:cNvSpPr>
              <a:spLocks noTextEdit="1"/>
            </xdr:cNvSpPr>
          </xdr:nvSpPr>
          <xdr:spPr>
            <a:xfrm>
              <a:off x="0" y="8562975"/>
              <a:ext cx="182603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423862</xdr:colOff>
      <xdr:row>45</xdr:row>
      <xdr:rowOff>16669</xdr:rowOff>
    </xdr:from>
    <xdr:to>
      <xdr:col>6</xdr:col>
      <xdr:colOff>195262</xdr:colOff>
      <xdr:row>58</xdr:row>
      <xdr:rowOff>64294</xdr:rowOff>
    </xdr:to>
    <mc:AlternateContent xmlns:mc="http://schemas.openxmlformats.org/markup-compatibility/2006" xmlns:a14="http://schemas.microsoft.com/office/drawing/2010/main">
      <mc:Choice Requires="a14">
        <xdr:graphicFrame macro="">
          <xdr:nvGraphicFramePr>
            <xdr:cNvPr id="8" name="Target Gender 6">
              <a:extLst>
                <a:ext uri="{FF2B5EF4-FFF2-40B4-BE49-F238E27FC236}">
                  <a16:creationId xmlns:a16="http://schemas.microsoft.com/office/drawing/2014/main" id="{0DADC27F-8196-4CF4-99FD-19488A2CA9E3}"/>
                </a:ext>
              </a:extLst>
            </xdr:cNvPr>
            <xdr:cNvGraphicFramePr/>
          </xdr:nvGraphicFramePr>
          <xdr:xfrm>
            <a:off x="0" y="0"/>
            <a:ext cx="0" cy="0"/>
          </xdr:xfrm>
          <a:graphic>
            <a:graphicData uri="http://schemas.microsoft.com/office/drawing/2010/slicer">
              <sle:slicer xmlns:sle="http://schemas.microsoft.com/office/drawing/2010/slicer" name="Target Gender 6"/>
            </a:graphicData>
          </a:graphic>
        </xdr:graphicFrame>
      </mc:Choice>
      <mc:Fallback xmlns="">
        <xdr:sp macro="" textlink="">
          <xdr:nvSpPr>
            <xdr:cNvPr id="0" name=""/>
            <xdr:cNvSpPr>
              <a:spLocks noTextEdit="1"/>
            </xdr:cNvSpPr>
          </xdr:nvSpPr>
          <xdr:spPr>
            <a:xfrm>
              <a:off x="4224337" y="8589169"/>
              <a:ext cx="15430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197644</xdr:colOff>
      <xdr:row>45</xdr:row>
      <xdr:rowOff>26194</xdr:rowOff>
    </xdr:from>
    <xdr:to>
      <xdr:col>8</xdr:col>
      <xdr:colOff>847725</xdr:colOff>
      <xdr:row>58</xdr:row>
      <xdr:rowOff>73819</xdr:rowOff>
    </xdr:to>
    <mc:AlternateContent xmlns:mc="http://schemas.openxmlformats.org/markup-compatibility/2006" xmlns:a14="http://schemas.microsoft.com/office/drawing/2010/main">
      <mc:Choice Requires="a14">
        <xdr:graphicFrame macro="">
          <xdr:nvGraphicFramePr>
            <xdr:cNvPr id="9" name="Region 6">
              <a:extLst>
                <a:ext uri="{FF2B5EF4-FFF2-40B4-BE49-F238E27FC236}">
                  <a16:creationId xmlns:a16="http://schemas.microsoft.com/office/drawing/2014/main" id="{C354C5DB-8EBC-4E5F-A072-B0A39E88902E}"/>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5769769" y="8598694"/>
              <a:ext cx="153590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35720</xdr:colOff>
      <xdr:row>15</xdr:row>
      <xdr:rowOff>107158</xdr:rowOff>
    </xdr:from>
    <xdr:to>
      <xdr:col>2</xdr:col>
      <xdr:colOff>369094</xdr:colOff>
      <xdr:row>23</xdr:row>
      <xdr:rowOff>107157</xdr:rowOff>
    </xdr:to>
    <mc:AlternateContent xmlns:mc="http://schemas.openxmlformats.org/markup-compatibility/2006" xmlns:a14="http://schemas.microsoft.com/office/drawing/2010/main">
      <mc:Choice Requires="a14">
        <xdr:graphicFrame macro="">
          <xdr:nvGraphicFramePr>
            <xdr:cNvPr id="2" name="Target Gender 3">
              <a:extLst>
                <a:ext uri="{FF2B5EF4-FFF2-40B4-BE49-F238E27FC236}">
                  <a16:creationId xmlns:a16="http://schemas.microsoft.com/office/drawing/2014/main" id="{8E03D9B0-A5DE-485B-B0C3-DA999A29BC11}"/>
                </a:ext>
              </a:extLst>
            </xdr:cNvPr>
            <xdr:cNvGraphicFramePr/>
          </xdr:nvGraphicFramePr>
          <xdr:xfrm>
            <a:off x="0" y="0"/>
            <a:ext cx="0" cy="0"/>
          </xdr:xfrm>
          <a:graphic>
            <a:graphicData uri="http://schemas.microsoft.com/office/drawing/2010/slicer">
              <sle:slicer xmlns:sle="http://schemas.microsoft.com/office/drawing/2010/slicer" name="Target Gender 3"/>
            </a:graphicData>
          </a:graphic>
        </xdr:graphicFrame>
      </mc:Choice>
      <mc:Fallback xmlns="">
        <xdr:sp macro="" textlink="">
          <xdr:nvSpPr>
            <xdr:cNvPr id="0" name=""/>
            <xdr:cNvSpPr>
              <a:spLocks noTextEdit="1"/>
            </xdr:cNvSpPr>
          </xdr:nvSpPr>
          <xdr:spPr>
            <a:xfrm>
              <a:off x="35720" y="2964658"/>
              <a:ext cx="1552574"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187779</xdr:colOff>
      <xdr:row>20</xdr:row>
      <xdr:rowOff>83345</xdr:rowOff>
    </xdr:from>
    <xdr:to>
      <xdr:col>21</xdr:col>
      <xdr:colOff>0</xdr:colOff>
      <xdr:row>30</xdr:row>
      <xdr:rowOff>35719</xdr:rowOff>
    </xdr:to>
    <mc:AlternateContent xmlns:mc="http://schemas.openxmlformats.org/markup-compatibility/2006" xmlns:a14="http://schemas.microsoft.com/office/drawing/2010/main">
      <mc:Choice Requires="a14">
        <xdr:graphicFrame macro="">
          <xdr:nvGraphicFramePr>
            <xdr:cNvPr id="3" name="Region 3">
              <a:extLst>
                <a:ext uri="{FF2B5EF4-FFF2-40B4-BE49-F238E27FC236}">
                  <a16:creationId xmlns:a16="http://schemas.microsoft.com/office/drawing/2014/main" id="{AEEF1EFF-4422-447E-A855-7FC108D2EC7B}"/>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550979" y="3893345"/>
              <a:ext cx="2022021" cy="1857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161925</xdr:colOff>
      <xdr:row>9</xdr:row>
      <xdr:rowOff>35719</xdr:rowOff>
    </xdr:from>
    <xdr:to>
      <xdr:col>11</xdr:col>
      <xdr:colOff>504825</xdr:colOff>
      <xdr:row>30</xdr:row>
      <xdr:rowOff>11906</xdr:rowOff>
    </xdr:to>
    <xdr:graphicFrame macro="">
      <xdr:nvGraphicFramePr>
        <xdr:cNvPr id="4" name="Chart 3">
          <a:extLst>
            <a:ext uri="{FF2B5EF4-FFF2-40B4-BE49-F238E27FC236}">
              <a16:creationId xmlns:a16="http://schemas.microsoft.com/office/drawing/2014/main" id="{CFF27FE3-29DA-4A00-BD38-6885954AF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39461</xdr:colOff>
      <xdr:row>3</xdr:row>
      <xdr:rowOff>143215</xdr:rowOff>
    </xdr:from>
    <xdr:to>
      <xdr:col>2</xdr:col>
      <xdr:colOff>371474</xdr:colOff>
      <xdr:row>15</xdr:row>
      <xdr:rowOff>134371</xdr:rowOff>
    </xdr:to>
    <mc:AlternateContent xmlns:mc="http://schemas.openxmlformats.org/markup-compatibility/2006" xmlns:a14="http://schemas.microsoft.com/office/drawing/2010/main">
      <mc:Choice Requires="a14">
        <xdr:graphicFrame macro="">
          <xdr:nvGraphicFramePr>
            <xdr:cNvPr id="6" name="Category 4">
              <a:extLst>
                <a:ext uri="{FF2B5EF4-FFF2-40B4-BE49-F238E27FC236}">
                  <a16:creationId xmlns:a16="http://schemas.microsoft.com/office/drawing/2014/main" id="{7F7C5808-F178-4174-9AC2-6BD815F9D9BF}"/>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39461" y="714715"/>
              <a:ext cx="1551213" cy="2277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176893</xdr:colOff>
      <xdr:row>4</xdr:row>
      <xdr:rowOff>15648</xdr:rowOff>
    </xdr:from>
    <xdr:to>
      <xdr:col>20</xdr:col>
      <xdr:colOff>351064</xdr:colOff>
      <xdr:row>20</xdr:row>
      <xdr:rowOff>95249</xdr:rowOff>
    </xdr:to>
    <mc:AlternateContent xmlns:mc="http://schemas.openxmlformats.org/markup-compatibility/2006" xmlns:a14="http://schemas.microsoft.com/office/drawing/2010/main">
      <mc:Choice Requires="a14">
        <xdr:graphicFrame macro="">
          <xdr:nvGraphicFramePr>
            <xdr:cNvPr id="7" name="Platform 4">
              <a:extLst>
                <a:ext uri="{FF2B5EF4-FFF2-40B4-BE49-F238E27FC236}">
                  <a16:creationId xmlns:a16="http://schemas.microsoft.com/office/drawing/2014/main" id="{69B6D160-EDEC-41D9-8843-C32935355DBF}"/>
                </a:ext>
              </a:extLst>
            </xdr:cNvPr>
            <xdr:cNvGraphicFramePr/>
          </xdr:nvGraphicFramePr>
          <xdr:xfrm>
            <a:off x="0" y="0"/>
            <a:ext cx="0" cy="0"/>
          </xdr:xfrm>
          <a:graphic>
            <a:graphicData uri="http://schemas.microsoft.com/office/drawing/2010/slicer">
              <sle:slicer xmlns:sle="http://schemas.microsoft.com/office/drawing/2010/slicer" name="Platform 4"/>
            </a:graphicData>
          </a:graphic>
        </xdr:graphicFrame>
      </mc:Choice>
      <mc:Fallback xmlns="">
        <xdr:sp macro="" textlink="">
          <xdr:nvSpPr>
            <xdr:cNvPr id="0" name=""/>
            <xdr:cNvSpPr>
              <a:spLocks noTextEdit="1"/>
            </xdr:cNvSpPr>
          </xdr:nvSpPr>
          <xdr:spPr>
            <a:xfrm>
              <a:off x="10586357" y="777649"/>
              <a:ext cx="2011136" cy="3056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19050</xdr:rowOff>
    </xdr:from>
    <xdr:to>
      <xdr:col>20</xdr:col>
      <xdr:colOff>342899</xdr:colOff>
      <xdr:row>3</xdr:row>
      <xdr:rowOff>123825</xdr:rowOff>
    </xdr:to>
    <xdr:sp macro="" textlink="">
      <xdr:nvSpPr>
        <xdr:cNvPr id="10" name="Rectangle 9">
          <a:extLst>
            <a:ext uri="{FF2B5EF4-FFF2-40B4-BE49-F238E27FC236}">
              <a16:creationId xmlns:a16="http://schemas.microsoft.com/office/drawing/2014/main" id="{353D7340-E593-42CB-98D0-85A4E763E907}"/>
            </a:ext>
          </a:extLst>
        </xdr:cNvPr>
        <xdr:cNvSpPr/>
      </xdr:nvSpPr>
      <xdr:spPr>
        <a:xfrm>
          <a:off x="38100" y="19050"/>
          <a:ext cx="12496799" cy="676275"/>
        </a:xfrm>
        <a:prstGeom prst="rect">
          <a:avLst/>
        </a:prstGeom>
        <a:solidFill>
          <a:srgbClr val="00FF00"/>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3200" b="1">
              <a:solidFill>
                <a:schemeClr val="bg1"/>
              </a:solidFill>
            </a:rPr>
            <a:t>Marketing Campaign</a:t>
          </a:r>
          <a:r>
            <a:rPr lang="en-US" sz="3200" b="1" baseline="0">
              <a:solidFill>
                <a:schemeClr val="bg1"/>
              </a:solidFill>
            </a:rPr>
            <a:t> Dashboard</a:t>
          </a:r>
          <a:endParaRPr lang="en-US" sz="3200" b="1">
            <a:solidFill>
              <a:schemeClr val="bg1"/>
            </a:solidFill>
          </a:endParaRPr>
        </a:p>
      </xdr:txBody>
    </xdr:sp>
    <xdr:clientData/>
  </xdr:twoCellAnchor>
  <xdr:twoCellAnchor>
    <xdr:from>
      <xdr:col>11</xdr:col>
      <xdr:colOff>523874</xdr:colOff>
      <xdr:row>9</xdr:row>
      <xdr:rowOff>38099</xdr:rowOff>
    </xdr:from>
    <xdr:to>
      <xdr:col>17</xdr:col>
      <xdr:colOff>173830</xdr:colOff>
      <xdr:row>30</xdr:row>
      <xdr:rowOff>35719</xdr:rowOff>
    </xdr:to>
    <xdr:graphicFrame macro="">
      <xdr:nvGraphicFramePr>
        <xdr:cNvPr id="12" name="Chart 11">
          <a:extLst>
            <a:ext uri="{FF2B5EF4-FFF2-40B4-BE49-F238E27FC236}">
              <a16:creationId xmlns:a16="http://schemas.microsoft.com/office/drawing/2014/main" id="{1B560C53-0646-49F7-9E36-27A0204EE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369336</xdr:colOff>
      <xdr:row>9</xdr:row>
      <xdr:rowOff>38877</xdr:rowOff>
    </xdr:from>
    <xdr:to>
      <xdr:col>7</xdr:col>
      <xdr:colOff>145790</xdr:colOff>
      <xdr:row>30</xdr:row>
      <xdr:rowOff>19438</xdr:rowOff>
    </xdr:to>
    <xdr:graphicFrame macro="">
      <xdr:nvGraphicFramePr>
        <xdr:cNvPr id="15" name="Chart 14">
          <a:extLst>
            <a:ext uri="{FF2B5EF4-FFF2-40B4-BE49-F238E27FC236}">
              <a16:creationId xmlns:a16="http://schemas.microsoft.com/office/drawing/2014/main" id="{7F35C67C-6193-4824-A705-D45E371AC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480787</xdr:colOff>
      <xdr:row>4</xdr:row>
      <xdr:rowOff>34772</xdr:rowOff>
    </xdr:from>
    <xdr:to>
      <xdr:col>5</xdr:col>
      <xdr:colOff>198303</xdr:colOff>
      <xdr:row>8</xdr:row>
      <xdr:rowOff>187172</xdr:rowOff>
    </xdr:to>
    <xdr:sp macro="" textlink="">
      <xdr:nvSpPr>
        <xdr:cNvPr id="32" name="Rectangle 31">
          <a:extLst>
            <a:ext uri="{FF2B5EF4-FFF2-40B4-BE49-F238E27FC236}">
              <a16:creationId xmlns:a16="http://schemas.microsoft.com/office/drawing/2014/main" id="{82236A7E-32D8-403F-0BB2-D75217F152D6}"/>
            </a:ext>
          </a:extLst>
        </xdr:cNvPr>
        <xdr:cNvSpPr/>
      </xdr:nvSpPr>
      <xdr:spPr>
        <a:xfrm>
          <a:off x="1705430" y="796772"/>
          <a:ext cx="15544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a:solidFill>
                <a:srgbClr val="00FF00"/>
              </a:solidFill>
            </a:rPr>
            <a:t>541216</a:t>
          </a:r>
          <a:endParaRPr lang="en-US" sz="1600" b="0">
            <a:solidFill>
              <a:srgbClr val="00FF00"/>
            </a:solidFill>
          </a:endParaRPr>
        </a:p>
        <a:p>
          <a:pPr algn="ctr"/>
          <a:endParaRPr lang="en-US" sz="2000" b="0">
            <a:solidFill>
              <a:srgbClr val="00FF00"/>
            </a:solidFill>
          </a:endParaRPr>
        </a:p>
        <a:p>
          <a:pPr algn="ctr"/>
          <a:endParaRPr lang="en-US" sz="3600" b="1">
            <a:solidFill>
              <a:srgbClr val="00FF00"/>
            </a:solidFill>
          </a:endParaRPr>
        </a:p>
      </xdr:txBody>
    </xdr:sp>
    <xdr:clientData/>
  </xdr:twoCellAnchor>
  <xdr:twoCellAnchor>
    <xdr:from>
      <xdr:col>5</xdr:col>
      <xdr:colOff>357868</xdr:colOff>
      <xdr:row>4</xdr:row>
      <xdr:rowOff>31748</xdr:rowOff>
    </xdr:from>
    <xdr:to>
      <xdr:col>8</xdr:col>
      <xdr:colOff>166824</xdr:colOff>
      <xdr:row>8</xdr:row>
      <xdr:rowOff>184148</xdr:rowOff>
    </xdr:to>
    <xdr:sp macro="" textlink="">
      <xdr:nvSpPr>
        <xdr:cNvPr id="33" name="Rectangle 32">
          <a:extLst>
            <a:ext uri="{FF2B5EF4-FFF2-40B4-BE49-F238E27FC236}">
              <a16:creationId xmlns:a16="http://schemas.microsoft.com/office/drawing/2014/main" id="{4AA7A368-F3CA-4D8B-8A97-37476B010289}"/>
            </a:ext>
          </a:extLst>
        </xdr:cNvPr>
        <xdr:cNvSpPr/>
      </xdr:nvSpPr>
      <xdr:spPr>
        <a:xfrm>
          <a:off x="3419475" y="793748"/>
          <a:ext cx="164592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FF00"/>
              </a:solidFill>
            </a:rPr>
            <a:t>78</a:t>
          </a:r>
          <a:r>
            <a:rPr lang="en-US" sz="2000" b="1" baseline="0">
              <a:solidFill>
                <a:srgbClr val="00FF00"/>
              </a:solidFill>
            </a:rPr>
            <a:t>%</a:t>
          </a:r>
        </a:p>
        <a:p>
          <a:pPr algn="ctr"/>
          <a:endParaRPr lang="en-US" sz="2000" b="1" baseline="0">
            <a:solidFill>
              <a:srgbClr val="00FF00"/>
            </a:solidFill>
          </a:endParaRPr>
        </a:p>
      </xdr:txBody>
    </xdr:sp>
    <xdr:clientData/>
  </xdr:twoCellAnchor>
  <xdr:twoCellAnchor>
    <xdr:from>
      <xdr:col>8</xdr:col>
      <xdr:colOff>327932</xdr:colOff>
      <xdr:row>4</xdr:row>
      <xdr:rowOff>32656</xdr:rowOff>
    </xdr:from>
    <xdr:to>
      <xdr:col>11</xdr:col>
      <xdr:colOff>136887</xdr:colOff>
      <xdr:row>8</xdr:row>
      <xdr:rowOff>185056</xdr:rowOff>
    </xdr:to>
    <xdr:sp macro="" textlink="">
      <xdr:nvSpPr>
        <xdr:cNvPr id="34" name="Rectangle 33">
          <a:extLst>
            <a:ext uri="{FF2B5EF4-FFF2-40B4-BE49-F238E27FC236}">
              <a16:creationId xmlns:a16="http://schemas.microsoft.com/office/drawing/2014/main" id="{617F150D-5BDF-4D43-B05F-FB774E6922A5}"/>
            </a:ext>
          </a:extLst>
        </xdr:cNvPr>
        <xdr:cNvSpPr/>
      </xdr:nvSpPr>
      <xdr:spPr>
        <a:xfrm>
          <a:off x="5204732" y="794656"/>
          <a:ext cx="1637755"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FF00"/>
              </a:solidFill>
            </a:rPr>
            <a:t>7.48%</a:t>
          </a:r>
        </a:p>
        <a:p>
          <a:pPr algn="ctr"/>
          <a:endParaRPr lang="en-US" sz="2000" b="1">
            <a:solidFill>
              <a:srgbClr val="00FF00"/>
            </a:solidFill>
          </a:endParaRPr>
        </a:p>
      </xdr:txBody>
    </xdr:sp>
    <xdr:clientData/>
  </xdr:twoCellAnchor>
  <xdr:twoCellAnchor>
    <xdr:from>
      <xdr:col>11</xdr:col>
      <xdr:colOff>284388</xdr:colOff>
      <xdr:row>4</xdr:row>
      <xdr:rowOff>29936</xdr:rowOff>
    </xdr:from>
    <xdr:to>
      <xdr:col>14</xdr:col>
      <xdr:colOff>93344</xdr:colOff>
      <xdr:row>8</xdr:row>
      <xdr:rowOff>182336</xdr:rowOff>
    </xdr:to>
    <xdr:sp macro="" textlink="">
      <xdr:nvSpPr>
        <xdr:cNvPr id="37" name="Rectangle 36">
          <a:extLst>
            <a:ext uri="{FF2B5EF4-FFF2-40B4-BE49-F238E27FC236}">
              <a16:creationId xmlns:a16="http://schemas.microsoft.com/office/drawing/2014/main" id="{84E2C42F-DCE7-C8EC-E96F-C2F95294144A}"/>
            </a:ext>
          </a:extLst>
        </xdr:cNvPr>
        <xdr:cNvSpPr/>
      </xdr:nvSpPr>
      <xdr:spPr>
        <a:xfrm>
          <a:off x="7019924" y="791936"/>
          <a:ext cx="164592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FF00"/>
              </a:solidFill>
            </a:rPr>
            <a:t>44.77</a:t>
          </a:r>
        </a:p>
        <a:p>
          <a:pPr algn="ctr"/>
          <a:endParaRPr lang="en-US" sz="2000" b="1">
            <a:solidFill>
              <a:srgbClr val="00FF00"/>
            </a:solidFill>
          </a:endParaRPr>
        </a:p>
      </xdr:txBody>
    </xdr:sp>
    <xdr:clientData/>
  </xdr:twoCellAnchor>
  <xdr:twoCellAnchor>
    <xdr:from>
      <xdr:col>14</xdr:col>
      <xdr:colOff>246289</xdr:colOff>
      <xdr:row>4</xdr:row>
      <xdr:rowOff>25853</xdr:rowOff>
    </xdr:from>
    <xdr:to>
      <xdr:col>17</xdr:col>
      <xdr:colOff>55245</xdr:colOff>
      <xdr:row>8</xdr:row>
      <xdr:rowOff>178253</xdr:rowOff>
    </xdr:to>
    <xdr:sp macro="" textlink="">
      <xdr:nvSpPr>
        <xdr:cNvPr id="38" name="Rectangle 37">
          <a:extLst>
            <a:ext uri="{FF2B5EF4-FFF2-40B4-BE49-F238E27FC236}">
              <a16:creationId xmlns:a16="http://schemas.microsoft.com/office/drawing/2014/main" id="{A6CA534A-7303-410C-3025-F6B72DD1E907}"/>
            </a:ext>
          </a:extLst>
        </xdr:cNvPr>
        <xdr:cNvSpPr/>
      </xdr:nvSpPr>
      <xdr:spPr>
        <a:xfrm>
          <a:off x="8818789" y="787853"/>
          <a:ext cx="164592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FF00"/>
              </a:solidFill>
            </a:rPr>
            <a:t>6.39%</a:t>
          </a:r>
        </a:p>
        <a:p>
          <a:pPr algn="ctr"/>
          <a:endParaRPr lang="en-US" sz="2000" b="1">
            <a:solidFill>
              <a:srgbClr val="00FF00"/>
            </a:solidFill>
          </a:endParaRPr>
        </a:p>
      </xdr:txBody>
    </xdr:sp>
    <xdr:clientData/>
  </xdr:twoCellAnchor>
  <xdr:twoCellAnchor>
    <xdr:from>
      <xdr:col>2</xdr:col>
      <xdr:colOff>503464</xdr:colOff>
      <xdr:row>7</xdr:row>
      <xdr:rowOff>85725</xdr:rowOff>
    </xdr:from>
    <xdr:to>
      <xdr:col>5</xdr:col>
      <xdr:colOff>176893</xdr:colOff>
      <xdr:row>8</xdr:row>
      <xdr:rowOff>176893</xdr:rowOff>
    </xdr:to>
    <xdr:sp macro="" textlink="">
      <xdr:nvSpPr>
        <xdr:cNvPr id="40" name="Rectangle 39">
          <a:extLst>
            <a:ext uri="{FF2B5EF4-FFF2-40B4-BE49-F238E27FC236}">
              <a16:creationId xmlns:a16="http://schemas.microsoft.com/office/drawing/2014/main" id="{6F5F9E1B-F321-71CC-B4C4-D820BAED5165}"/>
            </a:ext>
          </a:extLst>
        </xdr:cNvPr>
        <xdr:cNvSpPr/>
      </xdr:nvSpPr>
      <xdr:spPr>
        <a:xfrm>
          <a:off x="1722664" y="1419225"/>
          <a:ext cx="1502229" cy="281668"/>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400" b="0" cap="none" spc="0">
              <a:ln w="0"/>
              <a:solidFill>
                <a:srgbClr val="00FF00"/>
              </a:solidFill>
              <a:effectLst>
                <a:outerShdw blurRad="38100" dist="19050" dir="2700000" algn="tl" rotWithShape="0">
                  <a:schemeClr val="dk1">
                    <a:alpha val="40000"/>
                  </a:schemeClr>
                </a:outerShdw>
              </a:effectLst>
            </a:rPr>
            <a:t>Total sales</a:t>
          </a:r>
        </a:p>
      </xdr:txBody>
    </xdr:sp>
    <xdr:clientData/>
  </xdr:twoCellAnchor>
  <xdr:twoCellAnchor>
    <xdr:from>
      <xdr:col>5</xdr:col>
      <xdr:colOff>495300</xdr:colOff>
      <xdr:row>7</xdr:row>
      <xdr:rowOff>85725</xdr:rowOff>
    </xdr:from>
    <xdr:to>
      <xdr:col>8</xdr:col>
      <xdr:colOff>171450</xdr:colOff>
      <xdr:row>8</xdr:row>
      <xdr:rowOff>172811</xdr:rowOff>
    </xdr:to>
    <xdr:sp macro="" textlink="">
      <xdr:nvSpPr>
        <xdr:cNvPr id="41" name="Rectangle 40">
          <a:extLst>
            <a:ext uri="{FF2B5EF4-FFF2-40B4-BE49-F238E27FC236}">
              <a16:creationId xmlns:a16="http://schemas.microsoft.com/office/drawing/2014/main" id="{33BA45D1-D170-4D33-91B6-F6750EEE0BD8}"/>
            </a:ext>
          </a:extLst>
        </xdr:cNvPr>
        <xdr:cNvSpPr/>
      </xdr:nvSpPr>
      <xdr:spPr>
        <a:xfrm>
          <a:off x="3543300" y="1419225"/>
          <a:ext cx="1504950" cy="277586"/>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400" b="0" cap="none" spc="0">
              <a:ln w="0"/>
              <a:solidFill>
                <a:srgbClr val="00FF00"/>
              </a:solidFill>
              <a:effectLst>
                <a:outerShdw blurRad="38100" dist="19050" dir="2700000" algn="tl" rotWithShape="0">
                  <a:schemeClr val="dk1">
                    <a:alpha val="40000"/>
                  </a:schemeClr>
                </a:outerShdw>
              </a:effectLst>
            </a:rPr>
            <a:t>ROI</a:t>
          </a:r>
          <a:r>
            <a:rPr lang="en-US" sz="1400" b="0" cap="none" spc="0" baseline="0">
              <a:ln w="0"/>
              <a:solidFill>
                <a:srgbClr val="00FF00"/>
              </a:solidFill>
              <a:effectLst>
                <a:outerShdw blurRad="38100" dist="19050" dir="2700000" algn="tl" rotWithShape="0">
                  <a:schemeClr val="dk1">
                    <a:alpha val="40000"/>
                  </a:schemeClr>
                </a:outerShdw>
              </a:effectLst>
            </a:rPr>
            <a:t> %	</a:t>
          </a:r>
          <a:endParaRPr lang="en-US" sz="1400" b="0" cap="none" spc="0">
            <a:ln w="0"/>
            <a:solidFill>
              <a:srgbClr val="00FF00"/>
            </a:solidFill>
            <a:effectLst>
              <a:outerShdw blurRad="38100" dist="19050" dir="2700000" algn="tl" rotWithShape="0">
                <a:schemeClr val="dk1">
                  <a:alpha val="40000"/>
                </a:schemeClr>
              </a:outerShdw>
            </a:effectLst>
          </a:endParaRPr>
        </a:p>
      </xdr:txBody>
    </xdr:sp>
    <xdr:clientData/>
  </xdr:twoCellAnchor>
  <xdr:twoCellAnchor>
    <xdr:from>
      <xdr:col>8</xdr:col>
      <xdr:colOff>397328</xdr:colOff>
      <xdr:row>7</xdr:row>
      <xdr:rowOff>76199</xdr:rowOff>
    </xdr:from>
    <xdr:to>
      <xdr:col>11</xdr:col>
      <xdr:colOff>73478</xdr:colOff>
      <xdr:row>8</xdr:row>
      <xdr:rowOff>166006</xdr:rowOff>
    </xdr:to>
    <xdr:sp macro="" textlink="">
      <xdr:nvSpPr>
        <xdr:cNvPr id="42" name="Rectangle 41">
          <a:extLst>
            <a:ext uri="{FF2B5EF4-FFF2-40B4-BE49-F238E27FC236}">
              <a16:creationId xmlns:a16="http://schemas.microsoft.com/office/drawing/2014/main" id="{C7FCC584-C274-4166-BF67-C602817E9DB2}"/>
            </a:ext>
          </a:extLst>
        </xdr:cNvPr>
        <xdr:cNvSpPr/>
      </xdr:nvSpPr>
      <xdr:spPr>
        <a:xfrm>
          <a:off x="5274128" y="1409699"/>
          <a:ext cx="1504950" cy="280307"/>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400" b="0" cap="none" spc="0">
              <a:ln w="0"/>
              <a:solidFill>
                <a:srgbClr val="00FF00"/>
              </a:solidFill>
              <a:effectLst>
                <a:outerShdw blurRad="38100" dist="19050" dir="2700000" algn="tl" rotWithShape="0">
                  <a:schemeClr val="dk1">
                    <a:alpha val="40000"/>
                  </a:schemeClr>
                </a:outerShdw>
              </a:effectLst>
            </a:rPr>
            <a:t>Engagement</a:t>
          </a:r>
        </a:p>
      </xdr:txBody>
    </xdr:sp>
    <xdr:clientData/>
  </xdr:twoCellAnchor>
  <xdr:twoCellAnchor>
    <xdr:from>
      <xdr:col>11</xdr:col>
      <xdr:colOff>361950</xdr:colOff>
      <xdr:row>7</xdr:row>
      <xdr:rowOff>76200</xdr:rowOff>
    </xdr:from>
    <xdr:to>
      <xdr:col>14</xdr:col>
      <xdr:colOff>35379</xdr:colOff>
      <xdr:row>8</xdr:row>
      <xdr:rowOff>180976</xdr:rowOff>
    </xdr:to>
    <xdr:sp macro="" textlink="">
      <xdr:nvSpPr>
        <xdr:cNvPr id="44" name="Rectangle 43">
          <a:extLst>
            <a:ext uri="{FF2B5EF4-FFF2-40B4-BE49-F238E27FC236}">
              <a16:creationId xmlns:a16="http://schemas.microsoft.com/office/drawing/2014/main" id="{F2AF3BCC-AF3F-420F-8A51-680DD4660CDB}"/>
            </a:ext>
          </a:extLst>
        </xdr:cNvPr>
        <xdr:cNvSpPr/>
      </xdr:nvSpPr>
      <xdr:spPr>
        <a:xfrm>
          <a:off x="7067550" y="1409700"/>
          <a:ext cx="1502229" cy="295276"/>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400" b="0" cap="none" spc="0">
              <a:ln w="0"/>
              <a:solidFill>
                <a:srgbClr val="00FF00"/>
              </a:solidFill>
              <a:effectLst>
                <a:outerShdw blurRad="38100" dist="19050" dir="2700000" algn="tl" rotWithShape="0">
                  <a:schemeClr val="dk1">
                    <a:alpha val="40000"/>
                  </a:schemeClr>
                </a:outerShdw>
              </a:effectLst>
            </a:rPr>
            <a:t>CPC</a:t>
          </a:r>
        </a:p>
      </xdr:txBody>
    </xdr:sp>
    <xdr:clientData/>
  </xdr:twoCellAnchor>
  <xdr:twoCellAnchor>
    <xdr:from>
      <xdr:col>14</xdr:col>
      <xdr:colOff>323850</xdr:colOff>
      <xdr:row>7</xdr:row>
      <xdr:rowOff>85724</xdr:rowOff>
    </xdr:from>
    <xdr:to>
      <xdr:col>17</xdr:col>
      <xdr:colOff>0</xdr:colOff>
      <xdr:row>8</xdr:row>
      <xdr:rowOff>163285</xdr:rowOff>
    </xdr:to>
    <xdr:sp macro="" textlink="">
      <xdr:nvSpPr>
        <xdr:cNvPr id="45" name="Rectangle 44">
          <a:extLst>
            <a:ext uri="{FF2B5EF4-FFF2-40B4-BE49-F238E27FC236}">
              <a16:creationId xmlns:a16="http://schemas.microsoft.com/office/drawing/2014/main" id="{597D5881-A8B7-4531-82A3-87B85848F211}"/>
            </a:ext>
          </a:extLst>
        </xdr:cNvPr>
        <xdr:cNvSpPr/>
      </xdr:nvSpPr>
      <xdr:spPr>
        <a:xfrm>
          <a:off x="8858250" y="1419224"/>
          <a:ext cx="1504950" cy="268061"/>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400" b="0" cap="none" spc="0">
              <a:ln w="0"/>
              <a:solidFill>
                <a:srgbClr val="00FF00"/>
              </a:solidFill>
              <a:effectLst>
                <a:outerShdw blurRad="38100" dist="19050" dir="2700000" algn="tl" rotWithShape="0">
                  <a:schemeClr val="dk1">
                    <a:alpha val="40000"/>
                  </a:schemeClr>
                </a:outerShdw>
              </a:effectLst>
            </a:rPr>
            <a:t>Conv.</a:t>
          </a:r>
          <a:r>
            <a:rPr lang="en-US" sz="1400" b="0" cap="none" spc="0" baseline="0">
              <a:ln w="0"/>
              <a:solidFill>
                <a:srgbClr val="00FF00"/>
              </a:solidFill>
              <a:effectLst>
                <a:outerShdw blurRad="38100" dist="19050" dir="2700000" algn="tl" rotWithShape="0">
                  <a:schemeClr val="dk1">
                    <a:alpha val="40000"/>
                  </a:schemeClr>
                </a:outerShdw>
              </a:effectLst>
            </a:rPr>
            <a:t> Rate</a:t>
          </a:r>
          <a:endParaRPr lang="en-US" sz="1400" b="0" cap="none" spc="0">
            <a:ln w="0"/>
            <a:solidFill>
              <a:srgbClr val="00FF00"/>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23813</xdr:colOff>
      <xdr:row>22</xdr:row>
      <xdr:rowOff>154781</xdr:rowOff>
    </xdr:from>
    <xdr:to>
      <xdr:col>2</xdr:col>
      <xdr:colOff>357187</xdr:colOff>
      <xdr:row>30</xdr:row>
      <xdr:rowOff>23813</xdr:rowOff>
    </xdr:to>
    <mc:AlternateContent xmlns:mc="http://schemas.openxmlformats.org/markup-compatibility/2006" xmlns:a14="http://schemas.microsoft.com/office/drawing/2010/main">
      <mc:Choice Requires="a14">
        <xdr:graphicFrame macro="">
          <xdr:nvGraphicFramePr>
            <xdr:cNvPr id="46" name="Campaign Date (Quarter) 1">
              <a:extLst>
                <a:ext uri="{FF2B5EF4-FFF2-40B4-BE49-F238E27FC236}">
                  <a16:creationId xmlns:a16="http://schemas.microsoft.com/office/drawing/2014/main" id="{DE519352-F3BE-4104-8CD9-729173F0DBC4}"/>
                </a:ext>
              </a:extLst>
            </xdr:cNvPr>
            <xdr:cNvGraphicFramePr/>
          </xdr:nvGraphicFramePr>
          <xdr:xfrm>
            <a:off x="0" y="0"/>
            <a:ext cx="0" cy="0"/>
          </xdr:xfrm>
          <a:graphic>
            <a:graphicData uri="http://schemas.microsoft.com/office/drawing/2010/slicer">
              <sle:slicer xmlns:sle="http://schemas.microsoft.com/office/drawing/2010/slicer" name="Campaign Date (Quarter) 1"/>
            </a:graphicData>
          </a:graphic>
        </xdr:graphicFrame>
      </mc:Choice>
      <mc:Fallback xmlns="">
        <xdr:sp macro="" textlink="">
          <xdr:nvSpPr>
            <xdr:cNvPr id="0" name=""/>
            <xdr:cNvSpPr>
              <a:spLocks noTextEdit="1"/>
            </xdr:cNvSpPr>
          </xdr:nvSpPr>
          <xdr:spPr>
            <a:xfrm>
              <a:off x="23813" y="4345781"/>
              <a:ext cx="1552574" cy="1393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57.683645833335" backgroundQuery="1" createdVersion="8" refreshedVersion="8" minRefreshableVersion="3" recordCount="0" supportSubquery="1" supportAdvancedDrill="1" xr:uid="{0B19B568-330B-4D11-A718-046A803AA0CD}">
  <cacheSource type="external" connectionId="1"/>
  <cacheFields count="3">
    <cacheField name="[Table1].[State].[State]" caption="State" numFmtId="0" hierarchy="10" level="1">
      <sharedItems count="14">
        <s v="Assam"/>
        <s v="Bihar"/>
        <s v="Chandigarh"/>
        <s v="Delhi"/>
        <s v="Gujarat"/>
        <s v="Karnataka"/>
        <s v="Kerala"/>
        <s v="Madhya Pradesh"/>
        <s v="Maharashtra"/>
        <s v="Rajasthan"/>
        <s v="Tamil Nadu"/>
        <s v="Telangana"/>
        <s v="Uttar Pradesh"/>
        <s v="West Bengal"/>
      </sharedItems>
    </cacheField>
    <cacheField name="[Measures].[Sum of Revenue (₹)]" caption="Sum of Revenue (₹)" numFmtId="0" hierarchy="29" level="32767"/>
    <cacheField name="[Table1].[Target Gender].[Target Gender]" caption="Target Gender" numFmtId="0" hierarchy="8"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0"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69.718138194447" backgroundQuery="1" createdVersion="8" refreshedVersion="8" minRefreshableVersion="3" recordCount="0" supportSubquery="1" supportAdvancedDrill="1" xr:uid="{E09FC2D7-6036-423B-821F-7A0E40D58CC6}">
  <cacheSource type="external" connectionId="1"/>
  <cacheFields count="3">
    <cacheField name="[Table1].[Brand].[Brand]" caption="Brand" numFmtId="0" hierarchy="2" level="1">
      <sharedItems count="10">
        <s v="Boat"/>
        <s v="Dell"/>
        <s v="Head &amp; Shoulders"/>
        <s v="Home Centre"/>
        <s v="Milton"/>
        <s v="Nivea"/>
        <s v="Pantene"/>
        <s v="Park Avenue"/>
        <s v="Xiaomi"/>
        <s v="Zara"/>
      </sharedItems>
    </cacheField>
    <cacheField name="[Measures].[Sum of Revenue (₹)]" caption="Sum of Revenue (₹)" numFmtId="0" hierarchy="29" level="32767"/>
    <cacheField name="[Table1].[Campaign Date (Quarter)].[Campaign Date (Quarter)]" caption="Campaign Date (Quarter)" numFmtId="0" hierarchy="25"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fieldsUsage count="2">
        <fieldUsage x="-1"/>
        <fieldUsage x="2"/>
      </fieldsUsage>
    </cacheHierarchy>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69.718139236109" backgroundQuery="1" createdVersion="8" refreshedVersion="8" minRefreshableVersion="3" recordCount="0" supportSubquery="1" supportAdvancedDrill="1" xr:uid="{43671A43-FF3B-45FE-81EB-430D91E46EB4}">
  <cacheSource type="external" connectionId="1"/>
  <cacheFields count="3">
    <cacheField name="[Table1].[Campaign Type].[Campaign Type]" caption="Campaign Type" numFmtId="0" hierarchy="4" level="1">
      <sharedItems count="7">
        <s v="Affiliate Marketing"/>
        <s v="Display Ads"/>
        <s v="Email Marketing"/>
        <s v="Influencer Marketing"/>
        <s v="Search Ads"/>
        <s v="Social Media"/>
        <s v="Video Ads"/>
      </sharedItems>
    </cacheField>
    <cacheField name="[Measures].[Sum of Revenue (₹)]" caption="Sum of Revenue (₹)" numFmtId="0" hierarchy="29" level="32767"/>
    <cacheField name="[Table1].[Campaign Date (Quarter)].[Campaign Date (Quarter)]" caption="Campaign Date (Quarter)" numFmtId="0" hierarchy="25"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mpaign Type]" caption="Campaign Type" attribute="1" defaultMemberUniqueName="[Table1].[Campaign Type].[All]" allUniqueName="[Table1].[Campaign Type].[All]" dimensionUniqueName="[Table1]" displayFolder="" count="2" memberValueDatatype="130" unbalanced="0">
      <fieldsUsage count="2">
        <fieldUsage x="-1"/>
        <fieldUsage x="0"/>
      </fieldsUsage>
    </cacheHierarchy>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fieldsUsage count="2">
        <fieldUsage x="-1"/>
        <fieldUsage x="2"/>
      </fieldsUsage>
    </cacheHierarchy>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69.718137268515" backgroundQuery="1" createdVersion="8" refreshedVersion="8" minRefreshableVersion="3" recordCount="0" supportSubquery="1" supportAdvancedDrill="1" xr:uid="{3FBE3224-4BA1-4DB1-AE48-79802D5295A1}">
  <cacheSource type="external" connectionId="1"/>
  <cacheFields count="2">
    <cacheField name="[Measures].[Sum of Revenue (₹)]" caption="Sum of Revenue (₹)" numFmtId="0" hierarchy="29" level="32767"/>
    <cacheField name="[Table1].[Campaign Date (Quarter)].[Campaign Date (Quarter)]" caption="Campaign Date (Quarter)" numFmtId="0" hierarchy="25"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fieldsUsage count="2">
        <fieldUsage x="-1"/>
        <fieldUsage x="1"/>
      </fieldsUsage>
    </cacheHierarchy>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69.7181375" backgroundQuery="1" createdVersion="8" refreshedVersion="8" minRefreshableVersion="3" recordCount="0" supportSubquery="1" supportAdvancedDrill="1" xr:uid="{AFDC0421-7CB2-41DC-9ABC-7F17312C59A3}">
  <cacheSource type="external" connectionId="1"/>
  <cacheFields count="2">
    <cacheField name="[Measures].[Average of ROI (%)]" caption="Average of ROI (%)" numFmtId="0" hierarchy="36" level="32767"/>
    <cacheField name="[Table1].[Campaign Date (Quarter)].[Campaign Date (Quarter)]" caption="Campaign Date (Quarter)" numFmtId="0" hierarchy="25"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fieldsUsage count="2">
        <fieldUsage x="-1"/>
        <fieldUsage x="1"/>
      </fieldsUsage>
    </cacheHierarchy>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hidden="1">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69.718137731485" backgroundQuery="1" createdVersion="8" refreshedVersion="8" minRefreshableVersion="3" recordCount="0" supportSubquery="1" supportAdvancedDrill="1" xr:uid="{AEAFB86A-48D7-4621-93AF-B3B3F8169268}">
  <cacheSource type="external" connectionId="1"/>
  <cacheFields count="2">
    <cacheField name="[Measures].[Average of Engagement Rate (%)]" caption="Average of Engagement Rate (%)" numFmtId="0" hierarchy="38" level="32767"/>
    <cacheField name="[Table1].[Campaign Date (Quarter)].[Campaign Date (Quarter)]" caption="Campaign Date (Quarter)" numFmtId="0" hierarchy="25"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fieldsUsage count="2">
        <fieldUsage x="-1"/>
        <fieldUsage x="1"/>
      </fieldsUsage>
    </cacheHierarchy>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hidden="1">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69.718137037038" backgroundQuery="1" createdVersion="8" refreshedVersion="8" minRefreshableVersion="3" recordCount="0" supportSubquery="1" supportAdvancedDrill="1" xr:uid="{E63B51FA-6B47-4E16-9FDD-4A2F10747F9F}">
  <cacheSource type="external" connectionId="1"/>
  <cacheFields count="2">
    <cacheField name="[Measures].[Average of Conversion Rate (%)]" caption="Average of Conversion Rate (%)" numFmtId="0" hierarchy="40" level="32767"/>
    <cacheField name="[Table1].[Campaign Date (Quarter)].[Campaign Date (Quarter)]" caption="Campaign Date (Quarter)" numFmtId="0" hierarchy="25"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fieldsUsage count="2">
        <fieldUsage x="-1"/>
        <fieldUsage x="1"/>
      </fieldsUsage>
    </cacheHierarchy>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hidden="1">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57.683646064812" backgroundQuery="1" createdVersion="8" refreshedVersion="8" minRefreshableVersion="3" recordCount="0" supportSubquery="1" supportAdvancedDrill="1" xr:uid="{0AF741DF-C8A9-4745-84C3-1533C8B3E157}">
  <cacheSource type="external" connectionId="1"/>
  <cacheFields count="2">
    <cacheField name="[Measures].[Average of CPC (₹)]" caption="Average of CPC (₹)" numFmtId="0" hierarchy="32" level="32767"/>
    <cacheField name="[Table1].[Target Gender].[Target Gender]" caption="Target Gender" numFmtId="0" hierarchy="8" level="1">
      <sharedItems containsSemiMixedTypes="0" containsNonDate="0" containsString="0"/>
    </cacheField>
  </cacheFields>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0"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hidden="1">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57.677973495367" backgroundQuery="1" createdVersion="3" refreshedVersion="8" minRefreshableVersion="3" recordCount="0" supportSubquery="1" supportAdvancedDrill="1" xr:uid="{D98D2E46-BBD5-4BA3-B374-8FC71DE32E42}">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Table1].[Campaign ID]" caption="Campaign ID" attribute="1" defaultMemberUniqueName="[Table1].[Campaign ID].[All]" allUniqueName="[Table1].[Campaign ID].[All]" dimensionUniqueName="[Table1]" displayFolder="" count="0" memberValueDatatype="130" unbalanced="0"/>
    <cacheHierarchy uniqueName="[Table1].[Campaign Date]" caption="Campaign Date" attribute="1" time="1" defaultMemberUniqueName="[Table1].[Campaign Date].[All]" allUniqueName="[Table1].[Campaign Date].[All]" dimensionUniqueName="[Table1]" displayFolder="" count="0" memberValueDatatype="7"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Campaign Type]" caption="Campaign Type" attribute="1" defaultMemberUniqueName="[Table1].[Campaign Type].[All]" allUniqueName="[Table1].[Campaign Type].[All]" dimensionUniqueName="[Table1]" displayFolder="" count="0"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Objective]" caption="Objective" attribute="1" defaultMemberUniqueName="[Table1].[Objective].[All]" allUniqueName="[Table1].[Objective].[All]" dimensionUniqueName="[Table1]" displayFolder="" count="0" memberValueDatatype="130" unbalanced="0"/>
    <cacheHierarchy uniqueName="[Table1].[Target Age Group]" caption="Target Age Group" attribute="1" defaultMemberUniqueName="[Table1].[Target Age Group].[All]" allUniqueName="[Table1].[Target Age Group].[All]" dimensionUniqueName="[Table1]" displayFolder="" count="0" memberValueDatatype="130" unbalanced="0"/>
    <cacheHierarchy uniqueName="[Table1].[Target Gender]" caption="Target Gender" attribute="1" defaultMemberUniqueName="[Table1].[Target Gender].[All]" allUniqueName="[Table1].[Target Gender].[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CTR (%)]" caption="CTR (%)" attribute="1" defaultMemberUniqueName="[Table1].[CTR (%)].[All]" allUniqueName="[Table1].[CTR (%)].[All]" dimensionUniqueName="[Table1]" displayFolder="" count="0" memberValueDatatype="5"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Cost (₹)]" caption="Cost (₹)" attribute="1" defaultMemberUniqueName="[Table1].[Cost (₹)].[All]" allUniqueName="[Table1].[Cost (₹)].[All]" dimensionUniqueName="[Table1]" displayFolder="" count="0" memberValueDatatype="5" unbalanced="0"/>
    <cacheHierarchy uniqueName="[Table1].[CPC (₹)]" caption="CPC (₹)" attribute="1" defaultMemberUniqueName="[Table1].[CPC (₹)].[All]" allUniqueName="[Table1].[CPC (₹)].[All]" dimensionUniqueName="[Table1]" displayFolder="" count="0" memberValueDatatype="5" unbalanced="0"/>
    <cacheHierarchy uniqueName="[Table1].[CPA (₹)]" caption="CPA (₹)" attribute="1" defaultMemberUniqueName="[Table1].[CPA (₹)].[All]" allUniqueName="[Table1].[CPA (₹)].[All]" dimensionUniqueName="[Table1]" displayFolder="" count="0" memberValueDatatype="5" unbalanced="0"/>
    <cacheHierarchy uniqueName="[Table1].[Revenue (₹)]" caption="Revenue (₹)" attribute="1" defaultMemberUniqueName="[Table1].[Revenue (₹)].[All]" allUniqueName="[Table1].[Revenue (₹)].[All]" dimensionUniqueName="[Table1]" displayFolder="" count="0" memberValueDatatype="5" unbalanced="0"/>
    <cacheHierarchy uniqueName="[Table1].[ROI (%)]" caption="ROI (%)" attribute="1" defaultMemberUniqueName="[Table1].[ROI (%)].[All]" allUniqueName="[Table1].[ROI (%)].[All]" dimensionUniqueName="[Table1]" displayFolder="" count="0" memberValueDatatype="5" unbalanced="0"/>
    <cacheHierarchy uniqueName="[Table1].[Engagement Rate (%)]" caption="Engagement Rate (%)" attribute="1" defaultMemberUniqueName="[Table1].[Engagement Rate (%)].[All]" allUniqueName="[Table1].[Engagement Rate (%)].[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Campaign Date (Month)]" caption="Campaign Date (Month)" attribute="1" defaultMemberUniqueName="[Table1].[Campaign Date (Month)].[All]" allUniqueName="[Table1].[Campaign Date (Month)].[All]" dimensionUniqueName="[Table1]" displayFolder="" count="0" memberValueDatatype="130" unbalanced="0"/>
    <cacheHierarchy uniqueName="[Table1].[Campaign Date (Quarter)]" caption="Campaign Date (Quarter)" attribute="1" defaultMemberUniqueName="[Table1].[Campaign Date (Quarter)].[All]" allUniqueName="[Table1].[Campaign Date (Quarter)].[All]" dimensionUniqueName="[Table1]" displayFolder="" count="2" memberValueDatatype="130" unbalanced="0"/>
    <cacheHierarchy uniqueName="[Table1].[Campaign Date (Month Index)]" caption="Campaign Date (Month Index)" attribute="1" defaultMemberUniqueName="[Table1].[Campaign Date (Month Index)].[All]" allUniqueName="[Table1].[Campaign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 caption="Sum of Revenue (₹)" measure="1" displayFolder="" measureGroup="Table1" count="0" hidden="1">
      <extLst>
        <ext xmlns:x15="http://schemas.microsoft.com/office/spreadsheetml/2010/11/main" uri="{B97F6D7D-B522-45F9-BDA1-12C45D357490}">
          <x15:cacheHierarchy aggregatedColumn="20"/>
        </ext>
      </extLst>
    </cacheHierarchy>
    <cacheHierarchy uniqueName="[Measures].[Sum of CTR (%)]" caption="Sum of CTR (%)" measure="1" displayFolder="" measureGroup="Table1" count="0" hidden="1">
      <extLst>
        <ext xmlns:x15="http://schemas.microsoft.com/office/spreadsheetml/2010/11/main" uri="{B97F6D7D-B522-45F9-BDA1-12C45D357490}">
          <x15:cacheHierarchy aggregatedColumn="14"/>
        </ext>
      </extLst>
    </cacheHierarchy>
    <cacheHierarchy uniqueName="[Measures].[Sum of CPC (₹)]" caption="Sum of CPC (₹)" measure="1" displayFolder="" measureGroup="Table1" count="0" hidden="1">
      <extLst>
        <ext xmlns:x15="http://schemas.microsoft.com/office/spreadsheetml/2010/11/main" uri="{B97F6D7D-B522-45F9-BDA1-12C45D357490}">
          <x15:cacheHierarchy aggregatedColumn="18"/>
        </ext>
      </extLst>
    </cacheHierarchy>
    <cacheHierarchy uniqueName="[Measures].[Average of CPC (₹)]" caption="Average of CPC (₹)" measure="1" displayFolder="" measureGroup="Table1" count="0" hidden="1">
      <extLst>
        <ext xmlns:x15="http://schemas.microsoft.com/office/spreadsheetml/2010/11/main" uri="{B97F6D7D-B522-45F9-BDA1-12C45D357490}">
          <x15:cacheHierarchy aggregatedColumn="18"/>
        </ext>
      </extLst>
    </cacheHierarchy>
    <cacheHierarchy uniqueName="[Measures].[Sum of CPA (₹)]" caption="Sum of CPA (₹)" measure="1" displayFolder="" measureGroup="Table1" count="0" hidden="1">
      <extLst>
        <ext xmlns:x15="http://schemas.microsoft.com/office/spreadsheetml/2010/11/main" uri="{B97F6D7D-B522-45F9-BDA1-12C45D357490}">
          <x15:cacheHierarchy aggregatedColumn="19"/>
        </ext>
      </extLst>
    </cacheHierarchy>
    <cacheHierarchy uniqueName="[Measures].[Average of CPA (₹)]" caption="Average of CPA (₹)" measure="1" displayFolder="" measureGroup="Table1" count="0" hidden="1">
      <extLst>
        <ext xmlns:x15="http://schemas.microsoft.com/office/spreadsheetml/2010/11/main" uri="{B97F6D7D-B522-45F9-BDA1-12C45D357490}">
          <x15:cacheHierarchy aggregatedColumn="19"/>
        </ext>
      </extLst>
    </cacheHierarchy>
    <cacheHierarchy uniqueName="[Measures].[Sum of ROI (%)]" caption="Sum of ROI (%)" measure="1" displayFolder="" measureGroup="Table1" count="0" hidden="1">
      <extLst>
        <ext xmlns:x15="http://schemas.microsoft.com/office/spreadsheetml/2010/11/main" uri="{B97F6D7D-B522-45F9-BDA1-12C45D357490}">
          <x15:cacheHierarchy aggregatedColumn="2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21"/>
        </ext>
      </extLst>
    </cacheHierarchy>
    <cacheHierarchy uniqueName="[Measures].[Sum of Engagement Rate (%)]" caption="Sum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Average of Engagement Rate (%)]" caption="Average of Engagement Rate (%)" measure="1" displayFolder="" measureGroup="Table1" count="0" hidden="1">
      <extLst>
        <ext xmlns:x15="http://schemas.microsoft.com/office/spreadsheetml/2010/11/main" uri="{B97F6D7D-B522-45F9-BDA1-12C45D357490}">
          <x15:cacheHierarchy aggregatedColumn="22"/>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5"/>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9687677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72E73C-E84C-4B94-A7A1-7112E9D67FF0}"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3:C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OI (%)" fld="0" subtotal="average" baseField="0" baseItem="0" numFmtId="9"/>
  </dataFields>
  <formats count="1">
    <format dxfId="49">
      <pivotArea outline="0" collapsedLevelsAreSubtotals="1" fieldPosition="0"/>
    </format>
  </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ROI (%)"/>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D70473-9350-4232-9FBF-E746D5EE16F8}"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3:A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 fld="0" baseField="0" baseItem="0"/>
  </dataField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PA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A4ADDE-8A13-4251-982B-6DD149BF998A}"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34:B4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 fld="1" showDataAs="percentOfTotal" baseField="0" baseItem="0" numFmtId="10"/>
  </dataFields>
  <chartFormats count="16">
    <chartFormat chart="16" format="0"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0" count="1" selected="0">
            <x v="0"/>
          </reference>
        </references>
      </pivotArea>
    </chartFormat>
    <chartFormat chart="18" format="11">
      <pivotArea type="data" outline="0" fieldPosition="0">
        <references count="2">
          <reference field="4294967294" count="1" selected="0">
            <x v="0"/>
          </reference>
          <reference field="0" count="1" selected="0">
            <x v="1"/>
          </reference>
        </references>
      </pivotArea>
    </chartFormat>
    <chartFormat chart="18" format="12">
      <pivotArea type="data" outline="0" fieldPosition="0">
        <references count="2">
          <reference field="4294967294" count="1" selected="0">
            <x v="0"/>
          </reference>
          <reference field="0" count="1" selected="0">
            <x v="2"/>
          </reference>
        </references>
      </pivotArea>
    </chartFormat>
    <chartFormat chart="18" format="13">
      <pivotArea type="data" outline="0" fieldPosition="0">
        <references count="2">
          <reference field="4294967294" count="1" selected="0">
            <x v="0"/>
          </reference>
          <reference field="0" count="1" selected="0">
            <x v="3"/>
          </reference>
        </references>
      </pivotArea>
    </chartFormat>
    <chartFormat chart="18" format="14">
      <pivotArea type="data" outline="0" fieldPosition="0">
        <references count="2">
          <reference field="4294967294" count="1" selected="0">
            <x v="0"/>
          </reference>
          <reference field="0" count="1" selected="0">
            <x v="4"/>
          </reference>
        </references>
      </pivotArea>
    </chartFormat>
    <chartFormat chart="18" format="15">
      <pivotArea type="data" outline="0" fieldPosition="0">
        <references count="2">
          <reference field="4294967294" count="1" selected="0">
            <x v="0"/>
          </reference>
          <reference field="0" count="1" selected="0">
            <x v="5"/>
          </reference>
        </references>
      </pivotArea>
    </chartFormat>
    <chartFormat chart="18" format="16">
      <pivotArea type="data" outline="0" fieldPosition="0">
        <references count="2">
          <reference field="4294967294" count="1" selected="0">
            <x v="0"/>
          </reference>
          <reference field="0" count="1" selected="0">
            <x v="6"/>
          </reference>
        </references>
      </pivotArea>
    </chartFormat>
    <chartFormat chart="16" format="1">
      <pivotArea type="data" outline="0" fieldPosition="0">
        <references count="2">
          <reference field="4294967294" count="1" selected="0">
            <x v="0"/>
          </reference>
          <reference field="0" count="1" selected="0">
            <x v="0"/>
          </reference>
        </references>
      </pivotArea>
    </chartFormat>
    <chartFormat chart="16" format="2">
      <pivotArea type="data" outline="0" fieldPosition="0">
        <references count="2">
          <reference field="4294967294" count="1" selected="0">
            <x v="0"/>
          </reference>
          <reference field="0" count="1" selected="0">
            <x v="1"/>
          </reference>
        </references>
      </pivotArea>
    </chartFormat>
    <chartFormat chart="16" format="3">
      <pivotArea type="data" outline="0" fieldPosition="0">
        <references count="2">
          <reference field="4294967294" count="1" selected="0">
            <x v="0"/>
          </reference>
          <reference field="0" count="1" selected="0">
            <x v="2"/>
          </reference>
        </references>
      </pivotArea>
    </chartFormat>
    <chartFormat chart="16" format="4">
      <pivotArea type="data" outline="0" fieldPosition="0">
        <references count="2">
          <reference field="4294967294" count="1" selected="0">
            <x v="0"/>
          </reference>
          <reference field="0" count="1" selected="0">
            <x v="3"/>
          </reference>
        </references>
      </pivotArea>
    </chartFormat>
    <chartFormat chart="16" format="5">
      <pivotArea type="data" outline="0" fieldPosition="0">
        <references count="2">
          <reference field="4294967294" count="1" selected="0">
            <x v="0"/>
          </reference>
          <reference field="0" count="1" selected="0">
            <x v="4"/>
          </reference>
        </references>
      </pivotArea>
    </chartFormat>
    <chartFormat chart="16" format="6">
      <pivotArea type="data" outline="0" fieldPosition="0">
        <references count="2">
          <reference field="4294967294" count="1" selected="0">
            <x v="0"/>
          </reference>
          <reference field="0" count="1" selected="0">
            <x v="5"/>
          </reference>
        </references>
      </pivotArea>
    </chartFormat>
    <chartFormat chart="16" format="7">
      <pivotArea type="data" outline="0" fieldPosition="0">
        <references count="2">
          <reference field="4294967294" count="1" selected="0">
            <x v="0"/>
          </reference>
          <reference field="0" count="1" selected="0">
            <x v="6"/>
          </reference>
        </references>
      </pivotArea>
    </chartFormat>
  </chart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C4A724-4AA0-4997-83A0-C43DC5E7B7F0}"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3:I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PC (₹)" fld="0" subtotal="average" baseField="0" baseItem="0"/>
  </dataField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CPC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F0C8B5-12ED-4507-BA74-4E0EA3E7D106}" name="PivotTable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63:G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onversion Rate (%)" fld="0" subtotal="average" baseField="0" baseItem="0" numFmtId="10"/>
  </dataFields>
  <formats count="1">
    <format dxfId="50">
      <pivotArea outline="0" collapsedLevelsAreSubtotals="1" fieldPosition="0"/>
    </format>
  </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
    <pivotHierarchy dragToData="1" caption="Sum of Conversion Rate (%)"/>
    <pivotHierarchy dragToData="1" caption="Average of Conversion Rate (%)"/>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29C36E-1882-4699-A651-52051E13B8EE}"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6:B31"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Revenue (₹)" fld="1" showDataAs="percentOfTotal" baseField="0" baseItem="0" numFmtId="10"/>
  </dataFields>
  <chartFormats count="30">
    <chartFormat chart="0" format="0"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 chart="5" format="20">
      <pivotArea type="data" outline="0" fieldPosition="0">
        <references count="2">
          <reference field="4294967294" count="1" selected="0">
            <x v="0"/>
          </reference>
          <reference field="0" count="1" selected="0">
            <x v="3"/>
          </reference>
        </references>
      </pivotArea>
    </chartFormat>
    <chartFormat chart="5" format="21">
      <pivotArea type="data" outline="0" fieldPosition="0">
        <references count="2">
          <reference field="4294967294" count="1" selected="0">
            <x v="0"/>
          </reference>
          <reference field="0" count="1" selected="0">
            <x v="4"/>
          </reference>
        </references>
      </pivotArea>
    </chartFormat>
    <chartFormat chart="5" format="22">
      <pivotArea type="data" outline="0" fieldPosition="0">
        <references count="2">
          <reference field="4294967294" count="1" selected="0">
            <x v="0"/>
          </reference>
          <reference field="0" count="1" selected="0">
            <x v="5"/>
          </reference>
        </references>
      </pivotArea>
    </chartFormat>
    <chartFormat chart="5" format="23">
      <pivotArea type="data" outline="0" fieldPosition="0">
        <references count="2">
          <reference field="4294967294" count="1" selected="0">
            <x v="0"/>
          </reference>
          <reference field="0" count="1" selected="0">
            <x v="6"/>
          </reference>
        </references>
      </pivotArea>
    </chartFormat>
    <chartFormat chart="5" format="24">
      <pivotArea type="data" outline="0" fieldPosition="0">
        <references count="2">
          <reference field="4294967294" count="1" selected="0">
            <x v="0"/>
          </reference>
          <reference field="0" count="1" selected="0">
            <x v="7"/>
          </reference>
        </references>
      </pivotArea>
    </chartFormat>
    <chartFormat chart="5" format="25">
      <pivotArea type="data" outline="0" fieldPosition="0">
        <references count="2">
          <reference field="4294967294" count="1" selected="0">
            <x v="0"/>
          </reference>
          <reference field="0" count="1" selected="0">
            <x v="8"/>
          </reference>
        </references>
      </pivotArea>
    </chartFormat>
    <chartFormat chart="5" format="26">
      <pivotArea type="data" outline="0" fieldPosition="0">
        <references count="2">
          <reference field="4294967294" count="1" selected="0">
            <x v="0"/>
          </reference>
          <reference field="0" count="1" selected="0">
            <x v="9"/>
          </reference>
        </references>
      </pivotArea>
    </chartFormat>
    <chartFormat chart="5" format="27">
      <pivotArea type="data" outline="0" fieldPosition="0">
        <references count="2">
          <reference field="4294967294" count="1" selected="0">
            <x v="0"/>
          </reference>
          <reference field="0" count="1" selected="0">
            <x v="10"/>
          </reference>
        </references>
      </pivotArea>
    </chartFormat>
    <chartFormat chart="5" format="28">
      <pivotArea type="data" outline="0" fieldPosition="0">
        <references count="2">
          <reference field="4294967294" count="1" selected="0">
            <x v="0"/>
          </reference>
          <reference field="0" count="1" selected="0">
            <x v="11"/>
          </reference>
        </references>
      </pivotArea>
    </chartFormat>
    <chartFormat chart="5" format="29">
      <pivotArea type="data" outline="0" fieldPosition="0">
        <references count="2">
          <reference field="4294967294" count="1" selected="0">
            <x v="0"/>
          </reference>
          <reference field="0" count="1" selected="0">
            <x v="12"/>
          </reference>
        </references>
      </pivotArea>
    </chartFormat>
    <chartFormat chart="5" format="30">
      <pivotArea type="data" outline="0" fieldPosition="0">
        <references count="2">
          <reference field="4294967294" count="1" selected="0">
            <x v="0"/>
          </reference>
          <reference field="0" count="1" selected="0">
            <x v="1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744F9C-5A2B-48B8-98C5-CF1FF5132F98}"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63:E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Engagement Rate (%)" fld="0" subtotal="average" baseField="0" baseItem="0" numFmtId="10"/>
  </dataFields>
  <formats count="1">
    <format dxfId="51">
      <pivotArea outline="0" collapsedLevelsAreSubtotals="1" fieldPosition="0"/>
    </format>
  </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5C4447-7883-4D24-85E3-847C514F428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B1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brand"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_campaign_data_15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32D4431-7984-4C9F-B443-09FE686BDED0}" sourceName="[Table1].[Category]">
  <pivotTables>
    <pivotTable tabId="6" name="PivotTable1"/>
    <pivotTable tabId="6" name="PivotTable3"/>
    <pivotTable tabId="6" name="PivotTable5"/>
    <pivotTable tabId="6" name="PivotTable6"/>
    <pivotTable tabId="6" name="PivotTable7"/>
    <pivotTable tabId="6" name="PivotTable8"/>
    <pivotTable tabId="6" name="PivotTable9"/>
    <pivotTable tabId="6" name="PivotTable10"/>
  </pivotTables>
  <data>
    <olap pivotCacheId="1968767790">
      <levels count="2">
        <level uniqueName="[Table1].[Category].[(All)]" sourceCaption="(All)" count="0"/>
        <level uniqueName="[Table1].[Category].[Category]" sourceCaption="Category" count="5">
          <ranges>
            <range startItem="0">
              <i n="[Table1].[Category].&amp;[Beauty]" c="Beauty"/>
              <i n="[Table1].[Category].&amp;[Electronics]" c="Electronics"/>
              <i n="[Table1].[Category].&amp;[Fashion]" c="Fashion"/>
              <i n="[Table1].[Category].&amp;[Home &amp; Kitchen]" c="Home &amp; Kitchen"/>
              <i n="[Table1].[Category].&amp;" c="(blank)"/>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3FA9A0AC-D780-4F9B-9976-FCA0C8FCECD4}" sourceName="[Table1].[Platform]">
  <pivotTables>
    <pivotTable tabId="6" name="PivotTable1"/>
    <pivotTable tabId="6" name="PivotTable3"/>
    <pivotTable tabId="6" name="PivotTable5"/>
    <pivotTable tabId="6" name="PivotTable6"/>
    <pivotTable tabId="6" name="PivotTable7"/>
    <pivotTable tabId="6" name="PivotTable8"/>
    <pivotTable tabId="6" name="PivotTable9"/>
    <pivotTable tabId="6" name="PivotTable10"/>
  </pivotTables>
  <data>
    <olap pivotCacheId="1968767790">
      <levels count="2">
        <level uniqueName="[Table1].[Platform].[(All)]" sourceCaption="(All)" count="0"/>
        <level uniqueName="[Table1].[Platform].[Platform]" sourceCaption="Platform" count="14">
          <ranges>
            <range startItem="0">
              <i n="[Table1].[Platform].&amp;[Amazon Associates]" c="Amazon Associates"/>
              <i n="[Table1].[Platform].&amp;[Bing Ads]" c="Bing Ads"/>
              <i n="[Table1].[Platform].&amp;[CJ Affiliate]" c="CJ Affiliate"/>
              <i n="[Table1].[Platform].&amp;[Facebook]" c="Facebook"/>
              <i n="[Table1].[Platform].&amp;[Google Ads]" c="Google Ads"/>
              <i n="[Table1].[Platform].&amp;[Google Display Network]" c="Google Display Network"/>
              <i n="[Table1].[Platform].&amp;[HubSpot]" c="HubSpot"/>
              <i n="[Table1].[Platform].&amp;[Instagram]" c="Instagram"/>
              <i n="[Table1].[Platform].&amp;[Instagram Reels]" c="Instagram Reels"/>
              <i n="[Table1].[Platform].&amp;[LinkedIn]" c="LinkedIn"/>
              <i n="[Table1].[Platform].&amp;[Mailchimp]" c="Mailchimp"/>
              <i n="[Table1].[Platform].&amp;[Taboola]" c="Taboola"/>
              <i n="[Table1].[Platform].&amp;[YouTube]" c="YouTube"/>
              <i n="[Table1].[Platform].&amp;" c="(blank)"/>
            </range>
          </ranges>
        </level>
      </levels>
      <selections count="1">
        <selection n="[Table1].[Platfor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Gender" xr10:uid="{0F94630A-ADAD-4C0B-8CEE-3E599535BFA4}" sourceName="[Table1].[Target Gender]">
  <pivotTables>
    <pivotTable tabId="6" name="PivotTable1"/>
    <pivotTable tabId="6" name="PivotTable3"/>
    <pivotTable tabId="6" name="PivotTable5"/>
    <pivotTable tabId="6" name="PivotTable6"/>
    <pivotTable tabId="6" name="PivotTable7"/>
    <pivotTable tabId="6" name="PivotTable8"/>
    <pivotTable tabId="6" name="PivotTable9"/>
    <pivotTable tabId="6" name="PivotTable10"/>
  </pivotTables>
  <data>
    <olap pivotCacheId="1968767790">
      <levels count="2">
        <level uniqueName="[Table1].[Target Gender].[(All)]" sourceCaption="(All)" count="0"/>
        <level uniqueName="[Table1].[Target Gender].[Target Gender]" sourceCaption="Target Gender" count="4">
          <ranges>
            <range startItem="0">
              <i n="[Table1].[Target Gender].&amp;[All]" c="All"/>
              <i n="[Table1].[Target Gender].&amp;[Female]" c="Female"/>
              <i n="[Table1].[Target Gender].&amp;[Male]" c="Male"/>
              <i n="[Table1].[Target Gender].&amp;" c="(blank)"/>
            </range>
          </ranges>
        </level>
      </levels>
      <selections count="1">
        <selection n="[Table1].[Target Gender].[All]"/>
      </selections>
    </olap>
  </data>
  <extLst>
    <x:ext xmlns:x15="http://schemas.microsoft.com/office/spreadsheetml/2010/11/main" uri="{470722E0-AACD-4C17-9CDC-17EF765DBC7E}">
      <x15:slicerCacheHideItemsWithNoData count="1">
        <x15:slicerCacheOlapLevelName uniqueName="[Table1].[Target Gender].[Target Gender]"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99081A-2BE1-43FA-B895-97D75E5BB7A0}" sourceName="[Table1].[Region]">
  <pivotTables>
    <pivotTable tabId="6" name="PivotTable1"/>
    <pivotTable tabId="6" name="PivotTable3"/>
    <pivotTable tabId="6" name="PivotTable5"/>
    <pivotTable tabId="6" name="PivotTable6"/>
    <pivotTable tabId="6" name="PivotTable7"/>
    <pivotTable tabId="6" name="PivotTable8"/>
    <pivotTable tabId="6" name="PivotTable9"/>
    <pivotTable tabId="6" name="PivotTable10"/>
  </pivotTables>
  <data>
    <olap pivotCacheId="1968767790">
      <levels count="2">
        <level uniqueName="[Table1].[Region].[(All)]" sourceCaption="(All)" count="0"/>
        <level uniqueName="[Table1].[Region].[Region]" sourceCaption="Region" count="6">
          <ranges>
            <range startItem="0">
              <i n="[Table1].[Region].&amp;[Central]" c="Central"/>
              <i n="[Table1].[Region].&amp;[East]" c="East"/>
              <i n="[Table1].[Region].&amp;[North]" c="North"/>
              <i n="[Table1].[Region].&amp;[South]" c="South"/>
              <i n="[Table1].[Region].&amp;[West]" c="West"/>
              <i n="[Table1].[Region].&amp;" c="(blank)"/>
            </range>
          </ranges>
        </level>
      </levels>
      <selections count="1">
        <selection n="[Table1].[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Date__Quarter" xr10:uid="{90E915B7-BA76-4976-AC32-27530AB61ECA}" sourceName="[Table1].[Campaign Date (Quarter)]">
  <pivotTables>
    <pivotTable tabId="6" name="PivotTable1"/>
    <pivotTable tabId="6" name="PivotTable5"/>
    <pivotTable tabId="6" name="PivotTable6"/>
    <pivotTable tabId="6" name="PivotTable7"/>
    <pivotTable tabId="6" name="PivotTable8"/>
    <pivotTable tabId="6" name="PivotTable9"/>
  </pivotTables>
  <data>
    <olap pivotCacheId="1968767790">
      <levels count="2">
        <level uniqueName="[Table1].[Campaign Date (Quarter)].[(All)]" sourceCaption="(All)" count="0"/>
        <level uniqueName="[Table1].[Campaign Date (Quarter)].[Campaign Date (Quarter)]" sourceCaption="Campaign Date (Quarter)" count="5">
          <ranges>
            <range startItem="0">
              <i n="[Table1].[Campaign Date (Quarter)].&amp;[Qtr0]" c="Qtr0"/>
              <i n="[Table1].[Campaign Date (Quarter)].&amp;[Qtr1]" c="Qtr1"/>
              <i n="[Table1].[Campaign Date (Quarter)].&amp;[Qtr2]" c="Qtr2"/>
              <i n="[Table1].[Campaign Date (Quarter)].&amp;[Qtr3]" c="Qtr3"/>
              <i n="[Table1].[Campaign Date (Quarter)].&amp;[Qtr4]" c="Qtr4"/>
            </range>
          </ranges>
        </level>
      </levels>
      <selections count="1">
        <selection n="[Table1].[Campaign Date (Quarter)].[All]"/>
      </selections>
    </olap>
  </data>
  <extLst>
    <x:ext xmlns:x15="http://schemas.microsoft.com/office/spreadsheetml/2010/11/main" uri="{470722E0-AACD-4C17-9CDC-17EF765DBC7E}">
      <x15:slicerCacheHideItemsWithNoData count="1">
        <x15:slicerCacheOlapLevelName uniqueName="[Table1].[Campaign Date (Quarter)].[Campaign Date (Quarte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6" xr10:uid="{6D0CDBCE-3EE1-482D-B83F-1A5119C1004A}" cache="Slicer_Category" caption="Category" level="1" rowHeight="241300"/>
  <slicer name="Platform 6" xr10:uid="{F5AE8842-E6BB-432F-9961-EF314B76A0FD}" cache="Slicer_Platform" caption="Platform" level="1" rowHeight="241300"/>
  <slicer name="Target Gender 6" xr10:uid="{160E946F-6601-445A-9896-AEC58FE2DEDE}" cache="Slicer_Target_Gender" caption="Target Gender" level="1" rowHeight="182880"/>
  <slicer name="Region 6" xr10:uid="{33072945-EEDD-4996-8013-0DAD5F461616}" cache="Slicer_Region" caption="Region" level="1" rowHeight="182880"/>
  <slicer name="Campaign Date (Quarter) 2" xr10:uid="{54D526FE-3400-44EC-9D3F-10756B81F68F}" cache="Slicer_Campaign_Date__Quarter" caption="Campaign Date (Quart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9FF038A6-8D13-4750-879B-74B82F9A12BC}" cache="Slicer_Category" caption="Category" level="1" style="Slicer Style 9" rowHeight="365760"/>
  <slicer name="Platform 4" xr10:uid="{4B5E1AFE-1F86-4915-A658-EA9CA62B4648}" cache="Slicer_Platform" caption="Platform" columnCount="2" level="1" style="Slicer Style 9" rowHeight="365760"/>
  <slicer name="Target Gender 3" xr10:uid="{63CF6308-547F-4E24-9A82-CF661FB75B47}" cache="Slicer_Target_Gender" caption="Target Gender" level="1" style="Slicer Style 9" rowHeight="274320"/>
  <slicer name="Region 3" xr10:uid="{CB8B6F06-0FDF-4D31-841C-3D073C932F32}" cache="Slicer_Region" caption="Region" columnCount="2" level="1" style="Slicer Style 9" rowHeight="365760"/>
  <slicer name="Campaign Date (Quarter) 1" xr10:uid="{3FBCB152-9F20-47C7-9666-84492C1659FE}" cache="Slicer_Campaign_Date__Quarter" caption="Campaign Date (Quarter)" level="1" style="Slicer Style 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E90223-D813-492F-847A-53A66F61EC0D}" name="Table1" displayName="Table1" ref="A1:X282" totalsRowCount="1" headerRowDxfId="52" dataDxfId="48">
  <tableColumns count="24">
    <tableColumn id="1" xr3:uid="{59317116-FCEE-4C0B-B6F2-C59475CE9359}" name="Campaign ID" dataDxfId="47" totalsRowDxfId="23"/>
    <tableColumn id="2" xr3:uid="{61EC510E-2B49-4789-BE5B-C2271787E59B}" name="Campaign Date" dataDxfId="46" totalsRowDxfId="22"/>
    <tableColumn id="3" xr3:uid="{DE3161D2-757B-4FBE-9041-DDF4C889378D}" name="Brand" dataDxfId="45" totalsRowDxfId="21"/>
    <tableColumn id="4" xr3:uid="{B11795C7-604A-41A9-8FD3-2EE383F72FCF}" name="Category" dataDxfId="44" totalsRowDxfId="20"/>
    <tableColumn id="5" xr3:uid="{7ADA5C0D-778F-484D-85B1-1A258E4609CD}" name="Campaign Type" dataDxfId="43" totalsRowDxfId="19"/>
    <tableColumn id="6" xr3:uid="{62AC5584-045D-43F2-8D3B-8F5FCAF4B55C}" name="Platform" dataDxfId="42" totalsRowDxfId="18"/>
    <tableColumn id="7" xr3:uid="{E235929D-2FD0-4244-850B-7D04BC672188}" name="Objective" dataDxfId="41" totalsRowDxfId="17"/>
    <tableColumn id="8" xr3:uid="{71621AAD-1416-4F5B-8752-8B23587EC64A}" name="Target Age Group" dataDxfId="40" totalsRowDxfId="16"/>
    <tableColumn id="9" xr3:uid="{F82FDDB4-BE3B-4ABC-9280-3FD7A47F384A}" name="Target Gender" dataDxfId="39" totalsRowDxfId="15"/>
    <tableColumn id="10" xr3:uid="{04051E6A-586C-46C1-88F4-A994298D86CD}" name="City" dataDxfId="38" totalsRowDxfId="14"/>
    <tableColumn id="11" xr3:uid="{49DA78D4-9E16-4138-953E-487E7C1E8570}" name="State" dataDxfId="37" totalsRowDxfId="13"/>
    <tableColumn id="12" xr3:uid="{FC37335C-98D5-4F87-BE43-250E369FB56F}" name="Region" dataDxfId="36" totalsRowDxfId="12"/>
    <tableColumn id="13" xr3:uid="{97A55F4E-20F0-40DE-9667-FD1B2ADF56E5}" name="Impressions" dataDxfId="35" totalsRowDxfId="11"/>
    <tableColumn id="14" xr3:uid="{F041ED1E-AD2E-40EB-9E21-5B53D7362B80}" name="Clicks" dataDxfId="34" totalsRowDxfId="10"/>
    <tableColumn id="15" xr3:uid="{10E8B710-C5CC-40D1-931D-8C78BD6FC543}" name="CTR (%)" dataDxfId="33" totalsRowDxfId="9"/>
    <tableColumn id="16" xr3:uid="{F285A67C-30D9-464C-A021-F1A1B59A5533}" name="Conversion Rate (%)" dataDxfId="32" totalsRowDxfId="8"/>
    <tableColumn id="17" xr3:uid="{4320B290-1714-49BF-B19B-DF5004F44764}" name="Conversions" dataDxfId="31" totalsRowDxfId="7"/>
    <tableColumn id="18" xr3:uid="{0F451EA8-41DC-492C-83CC-11051CCCCB48}" name="Cost (₹)" dataDxfId="30" totalsRowDxfId="6"/>
    <tableColumn id="19" xr3:uid="{04D4803C-EA46-400B-A710-D95997579D87}" name="CPC (₹)" dataDxfId="29" totalsRowDxfId="5"/>
    <tableColumn id="20" xr3:uid="{2E3A07C0-D650-4734-AA29-3566E929942C}" name="CPA (₹)" dataDxfId="28" totalsRowDxfId="4"/>
    <tableColumn id="21" xr3:uid="{07F7CC4A-A542-41D5-83A9-2BC1DD8B199B}" name="Revenue (₹)" dataDxfId="27" totalsRowDxfId="3" dataCellStyle="Percent"/>
    <tableColumn id="22" xr3:uid="{8A7F8AB3-6666-46BF-A05D-E21B63B2CACB}" name="ROI (%)" dataDxfId="26" totalsRowDxfId="2"/>
    <tableColumn id="23" xr3:uid="{819BC49B-00C1-428D-BAB9-D40FCFD48AD1}" name="Engagement Rate (%)" dataDxfId="25" totalsRowDxfId="1"/>
    <tableColumn id="24" xr3:uid="{04FED812-083A-43F2-84D2-E18AD9957C05}" name="Status" dataDxfId="24"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X282"/>
  <sheetViews>
    <sheetView topLeftCell="F1" workbookViewId="0">
      <pane ySplit="1" topLeftCell="A2" activePane="bottomLeft" state="frozen"/>
      <selection pane="bottomLeft" activeCell="I19" sqref="I19:I20"/>
    </sheetView>
  </sheetViews>
  <sheetFormatPr defaultRowHeight="15" x14ac:dyDescent="0.25"/>
  <cols>
    <col min="1" max="1" width="15.85546875" customWidth="1"/>
    <col min="2" max="2" width="18.42578125" style="6" customWidth="1"/>
    <col min="3" max="3" width="16.140625" bestFit="1" customWidth="1"/>
    <col min="4" max="4" width="14.7109375" bestFit="1" customWidth="1"/>
    <col min="5" max="5" width="18.7109375" customWidth="1"/>
    <col min="6" max="6" width="21.140625" bestFit="1" customWidth="1"/>
    <col min="7" max="7" width="17.7109375" bestFit="1" customWidth="1"/>
    <col min="8" max="8" width="21.28515625" customWidth="1"/>
    <col min="9" max="9" width="18.140625" customWidth="1"/>
    <col min="10" max="10" width="10.85546875" bestFit="1" customWidth="1"/>
    <col min="11" max="11" width="15.140625" bestFit="1" customWidth="1"/>
    <col min="12" max="12" width="10.42578125" customWidth="1"/>
    <col min="13" max="13" width="15.42578125" customWidth="1"/>
    <col min="14" max="14" width="9.28515625" customWidth="1"/>
    <col min="15" max="15" width="11.5703125" customWidth="1"/>
    <col min="16" max="16" width="24.140625" customWidth="1"/>
    <col min="17" max="17" width="16.140625" customWidth="1"/>
    <col min="18" max="18" width="11" customWidth="1"/>
    <col min="19" max="19" width="10.85546875" customWidth="1"/>
    <col min="20" max="20" width="10.5703125" customWidth="1"/>
    <col min="21" max="21" width="14.85546875" style="14" customWidth="1"/>
    <col min="22" max="22" width="13.42578125" customWidth="1"/>
    <col min="23" max="23" width="25" customWidth="1"/>
    <col min="24" max="24" width="9.85546875" bestFit="1" customWidth="1"/>
  </cols>
  <sheetData>
    <row r="1" spans="1:24" x14ac:dyDescent="0.25">
      <c r="A1" s="1" t="s">
        <v>0</v>
      </c>
      <c r="B1" s="7"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3" t="s">
        <v>20</v>
      </c>
      <c r="V1" s="1" t="s">
        <v>21</v>
      </c>
      <c r="W1" s="1" t="s">
        <v>22</v>
      </c>
      <c r="X1" s="1" t="s">
        <v>23</v>
      </c>
    </row>
    <row r="2" spans="1:24" x14ac:dyDescent="0.25">
      <c r="A2" s="20" t="s">
        <v>24</v>
      </c>
      <c r="B2" s="21">
        <v>45823</v>
      </c>
      <c r="C2" s="20" t="s">
        <v>25</v>
      </c>
      <c r="D2" s="20" t="s">
        <v>26</v>
      </c>
      <c r="E2" s="20" t="s">
        <v>27</v>
      </c>
      <c r="F2" s="20" t="s">
        <v>28</v>
      </c>
      <c r="G2" s="20" t="s">
        <v>29</v>
      </c>
      <c r="H2" s="20" t="s">
        <v>30</v>
      </c>
      <c r="I2" s="20" t="s">
        <v>31</v>
      </c>
      <c r="J2" s="20" t="s">
        <v>32</v>
      </c>
      <c r="K2" s="20" t="s">
        <v>33</v>
      </c>
      <c r="L2" s="20" t="s">
        <v>34</v>
      </c>
      <c r="M2" s="20">
        <v>310548</v>
      </c>
      <c r="N2" s="20">
        <v>2888</v>
      </c>
      <c r="O2" s="29">
        <v>0.93</v>
      </c>
      <c r="P2" s="28">
        <v>6.5799999999999997E-2</v>
      </c>
      <c r="Q2" s="20">
        <v>190</v>
      </c>
      <c r="R2" s="23">
        <v>11298.92</v>
      </c>
      <c r="S2" s="20">
        <v>3.91</v>
      </c>
      <c r="T2" s="20">
        <v>59.47</v>
      </c>
      <c r="U2" s="23">
        <v>19178.79</v>
      </c>
      <c r="V2" s="22">
        <v>0.69740000000000002</v>
      </c>
      <c r="W2" s="22">
        <v>1.5100000000000001E-2</v>
      </c>
      <c r="X2" s="20" t="s">
        <v>35</v>
      </c>
    </row>
    <row r="3" spans="1:24" x14ac:dyDescent="0.25">
      <c r="A3" s="20" t="s">
        <v>36</v>
      </c>
      <c r="B3" s="21">
        <v>45875</v>
      </c>
      <c r="C3" s="20" t="s">
        <v>37</v>
      </c>
      <c r="D3" s="20" t="s">
        <v>26</v>
      </c>
      <c r="E3" s="20" t="s">
        <v>38</v>
      </c>
      <c r="F3" s="20" t="s">
        <v>39</v>
      </c>
      <c r="G3" s="20" t="s">
        <v>40</v>
      </c>
      <c r="H3" s="20" t="s">
        <v>30</v>
      </c>
      <c r="I3" s="20" t="s">
        <v>31</v>
      </c>
      <c r="J3" s="20" t="s">
        <v>41</v>
      </c>
      <c r="K3" s="20" t="s">
        <v>42</v>
      </c>
      <c r="L3" s="20" t="s">
        <v>43</v>
      </c>
      <c r="M3" s="20">
        <v>311992</v>
      </c>
      <c r="N3" s="20">
        <v>10857</v>
      </c>
      <c r="O3" s="29">
        <v>3.48</v>
      </c>
      <c r="P3" s="28">
        <v>0.1174</v>
      </c>
      <c r="Q3" s="20">
        <v>1274</v>
      </c>
      <c r="R3" s="23">
        <v>13552.5</v>
      </c>
      <c r="S3" s="20">
        <v>1.25</v>
      </c>
      <c r="T3" s="20">
        <v>10.64</v>
      </c>
      <c r="U3" s="23">
        <v>36246.160000000003</v>
      </c>
      <c r="V3" s="22">
        <v>1.6745000000000001</v>
      </c>
      <c r="W3" s="22">
        <v>4.7E-2</v>
      </c>
      <c r="X3" s="20" t="s">
        <v>35</v>
      </c>
    </row>
    <row r="4" spans="1:24" x14ac:dyDescent="0.25">
      <c r="A4" s="20" t="s">
        <v>44</v>
      </c>
      <c r="B4" s="21">
        <v>45718</v>
      </c>
      <c r="C4" s="20" t="s">
        <v>45</v>
      </c>
      <c r="D4" s="20" t="s">
        <v>46</v>
      </c>
      <c r="E4" s="20" t="s">
        <v>47</v>
      </c>
      <c r="F4" s="20" t="s">
        <v>48</v>
      </c>
      <c r="G4" s="20" t="s">
        <v>29</v>
      </c>
      <c r="H4" s="20" t="s">
        <v>30</v>
      </c>
      <c r="I4" s="20" t="s">
        <v>49</v>
      </c>
      <c r="J4" s="20" t="s">
        <v>50</v>
      </c>
      <c r="K4" s="20" t="s">
        <v>50</v>
      </c>
      <c r="L4" s="20" t="s">
        <v>43</v>
      </c>
      <c r="M4" s="20">
        <v>103498</v>
      </c>
      <c r="N4" s="20">
        <v>3405</v>
      </c>
      <c r="O4" s="27">
        <v>3.29</v>
      </c>
      <c r="P4" s="28">
        <v>7.0300000000000001E-2</v>
      </c>
      <c r="Q4" s="20">
        <v>239</v>
      </c>
      <c r="R4" s="23">
        <v>17571.669999999998</v>
      </c>
      <c r="S4" s="20">
        <v>5.16</v>
      </c>
      <c r="T4" s="20">
        <v>73.52</v>
      </c>
      <c r="U4" s="23">
        <v>14709.24</v>
      </c>
      <c r="V4" s="22">
        <v>-0.16289999999999999</v>
      </c>
      <c r="W4" s="22">
        <v>3.49E-2</v>
      </c>
      <c r="X4" s="20" t="s">
        <v>51</v>
      </c>
    </row>
    <row r="5" spans="1:24" x14ac:dyDescent="0.25">
      <c r="A5" s="20" t="s">
        <v>52</v>
      </c>
      <c r="B5" s="21">
        <v>45876</v>
      </c>
      <c r="C5" s="20" t="s">
        <v>53</v>
      </c>
      <c r="D5" s="20" t="s">
        <v>54</v>
      </c>
      <c r="E5" s="20" t="s">
        <v>27</v>
      </c>
      <c r="F5" s="20" t="s">
        <v>55</v>
      </c>
      <c r="G5" s="20" t="s">
        <v>56</v>
      </c>
      <c r="H5" s="20" t="s">
        <v>57</v>
      </c>
      <c r="I5" s="20" t="s">
        <v>31</v>
      </c>
      <c r="J5" s="20" t="s">
        <v>58</v>
      </c>
      <c r="K5" s="20" t="s">
        <v>59</v>
      </c>
      <c r="L5" s="20" t="s">
        <v>60</v>
      </c>
      <c r="M5" s="20">
        <v>99249</v>
      </c>
      <c r="N5" s="20">
        <v>5696</v>
      </c>
      <c r="O5" s="27">
        <v>5.74</v>
      </c>
      <c r="P5" s="28">
        <v>3.6900000000000002E-2</v>
      </c>
      <c r="Q5" s="20">
        <v>210</v>
      </c>
      <c r="R5" s="23">
        <v>144457.07999999999</v>
      </c>
      <c r="S5" s="20">
        <v>25.36</v>
      </c>
      <c r="T5" s="20">
        <v>687.89</v>
      </c>
      <c r="U5" s="23">
        <v>275624.11</v>
      </c>
      <c r="V5" s="22">
        <v>0.90800000000000003</v>
      </c>
      <c r="W5" s="22">
        <v>0.13189999999999999</v>
      </c>
      <c r="X5" s="20" t="s">
        <v>51</v>
      </c>
    </row>
    <row r="6" spans="1:24" x14ac:dyDescent="0.25">
      <c r="A6" s="20" t="s">
        <v>61</v>
      </c>
      <c r="B6" s="21">
        <v>45805</v>
      </c>
      <c r="C6" s="20" t="s">
        <v>45</v>
      </c>
      <c r="D6" s="20" t="s">
        <v>46</v>
      </c>
      <c r="E6" s="20" t="s">
        <v>62</v>
      </c>
      <c r="F6" s="20" t="s">
        <v>28</v>
      </c>
      <c r="G6" s="20" t="s">
        <v>63</v>
      </c>
      <c r="H6" s="20" t="s">
        <v>64</v>
      </c>
      <c r="I6" s="20" t="s">
        <v>31</v>
      </c>
      <c r="J6" s="20" t="s">
        <v>58</v>
      </c>
      <c r="K6" s="20" t="s">
        <v>59</v>
      </c>
      <c r="L6" s="20" t="s">
        <v>60</v>
      </c>
      <c r="M6" s="20">
        <v>184335</v>
      </c>
      <c r="N6" s="20">
        <v>3023</v>
      </c>
      <c r="O6" s="27">
        <v>1.64</v>
      </c>
      <c r="P6" s="28">
        <v>6.3799999999999996E-2</v>
      </c>
      <c r="Q6" s="20">
        <v>192</v>
      </c>
      <c r="R6" s="23">
        <v>11723.4</v>
      </c>
      <c r="S6" s="20">
        <v>3.88</v>
      </c>
      <c r="T6" s="20">
        <v>61.06</v>
      </c>
      <c r="U6" s="23">
        <v>26224.07</v>
      </c>
      <c r="V6" s="22">
        <v>1.2369000000000001</v>
      </c>
      <c r="W6" s="22">
        <v>0.1159</v>
      </c>
      <c r="X6" s="20" t="s">
        <v>51</v>
      </c>
    </row>
    <row r="7" spans="1:24" x14ac:dyDescent="0.25">
      <c r="A7" s="20" t="s">
        <v>65</v>
      </c>
      <c r="B7" s="21">
        <v>45818</v>
      </c>
      <c r="C7" s="20" t="s">
        <v>53</v>
      </c>
      <c r="D7" s="20" t="s">
        <v>54</v>
      </c>
      <c r="E7" s="20" t="s">
        <v>66</v>
      </c>
      <c r="F7" s="20" t="s">
        <v>67</v>
      </c>
      <c r="G7" s="20" t="s">
        <v>63</v>
      </c>
      <c r="H7" s="20" t="s">
        <v>64</v>
      </c>
      <c r="I7" s="20" t="s">
        <v>49</v>
      </c>
      <c r="J7" s="20" t="s">
        <v>58</v>
      </c>
      <c r="K7" s="20" t="s">
        <v>59</v>
      </c>
      <c r="L7" s="20" t="s">
        <v>60</v>
      </c>
      <c r="M7" s="20">
        <v>244182</v>
      </c>
      <c r="N7" s="20">
        <v>2490</v>
      </c>
      <c r="O7" s="27">
        <v>1.02</v>
      </c>
      <c r="P7" s="28">
        <v>2.0299999999999999E-2</v>
      </c>
      <c r="Q7" s="20">
        <v>50</v>
      </c>
      <c r="R7" s="23">
        <v>68944.94</v>
      </c>
      <c r="S7" s="20">
        <v>27.69</v>
      </c>
      <c r="T7" s="20">
        <v>1378.9</v>
      </c>
      <c r="U7" s="23">
        <v>158793.99</v>
      </c>
      <c r="V7" s="22">
        <v>1.3031999999999999</v>
      </c>
      <c r="W7" s="22">
        <v>1.44E-2</v>
      </c>
      <c r="X7" s="20" t="s">
        <v>51</v>
      </c>
    </row>
    <row r="8" spans="1:24" x14ac:dyDescent="0.25">
      <c r="A8" s="20" t="s">
        <v>68</v>
      </c>
      <c r="B8" s="21">
        <v>45816</v>
      </c>
      <c r="C8" s="20" t="s">
        <v>45</v>
      </c>
      <c r="D8" s="20" t="s">
        <v>46</v>
      </c>
      <c r="E8" s="20" t="s">
        <v>66</v>
      </c>
      <c r="F8" s="20" t="s">
        <v>67</v>
      </c>
      <c r="G8" s="20" t="s">
        <v>56</v>
      </c>
      <c r="H8" s="20" t="s">
        <v>64</v>
      </c>
      <c r="I8" s="20" t="s">
        <v>49</v>
      </c>
      <c r="J8" s="20" t="s">
        <v>32</v>
      </c>
      <c r="K8" s="20" t="s">
        <v>33</v>
      </c>
      <c r="L8" s="20" t="s">
        <v>34</v>
      </c>
      <c r="M8" s="20">
        <v>16829</v>
      </c>
      <c r="N8" s="20">
        <v>1270</v>
      </c>
      <c r="O8" s="27">
        <v>7.55</v>
      </c>
      <c r="P8" s="28">
        <v>4.9099999999999998E-2</v>
      </c>
      <c r="Q8" s="20">
        <v>62</v>
      </c>
      <c r="R8" s="23">
        <v>153508.04999999999</v>
      </c>
      <c r="S8" s="20">
        <v>120.87</v>
      </c>
      <c r="T8" s="20">
        <v>2475.94</v>
      </c>
      <c r="U8" s="23">
        <v>281764.03000000003</v>
      </c>
      <c r="V8" s="22">
        <v>0.83550000000000002</v>
      </c>
      <c r="W8" s="22">
        <v>3.6600000000000001E-2</v>
      </c>
      <c r="X8" s="20" t="s">
        <v>35</v>
      </c>
    </row>
    <row r="9" spans="1:24" x14ac:dyDescent="0.25">
      <c r="A9" s="20" t="s">
        <v>69</v>
      </c>
      <c r="B9" s="21">
        <v>45784</v>
      </c>
      <c r="C9" s="20" t="s">
        <v>70</v>
      </c>
      <c r="D9" s="20" t="s">
        <v>54</v>
      </c>
      <c r="E9" s="20" t="s">
        <v>27</v>
      </c>
      <c r="F9" s="20" t="s">
        <v>55</v>
      </c>
      <c r="G9" s="20" t="s">
        <v>29</v>
      </c>
      <c r="H9" s="20" t="s">
        <v>71</v>
      </c>
      <c r="I9" s="20" t="s">
        <v>72</v>
      </c>
      <c r="J9" s="20" t="s">
        <v>73</v>
      </c>
      <c r="K9" s="20" t="s">
        <v>74</v>
      </c>
      <c r="L9" s="20" t="s">
        <v>75</v>
      </c>
      <c r="M9" s="20">
        <v>293064</v>
      </c>
      <c r="N9" s="20">
        <v>7561</v>
      </c>
      <c r="O9" s="27">
        <v>2.58</v>
      </c>
      <c r="P9" s="28">
        <v>2.5100000000000001E-2</v>
      </c>
      <c r="Q9" s="20">
        <v>189</v>
      </c>
      <c r="R9" s="23">
        <v>108769.37</v>
      </c>
      <c r="S9" s="20">
        <v>14.39</v>
      </c>
      <c r="T9" s="20">
        <v>575.5</v>
      </c>
      <c r="U9" s="23">
        <v>213786.2</v>
      </c>
      <c r="V9" s="22">
        <v>0.96550000000000002</v>
      </c>
      <c r="W9" s="22">
        <v>0.1074</v>
      </c>
      <c r="X9" s="20" t="s">
        <v>76</v>
      </c>
    </row>
    <row r="10" spans="1:24" x14ac:dyDescent="0.25">
      <c r="A10" s="20" t="s">
        <v>77</v>
      </c>
      <c r="B10" s="21">
        <v>45852</v>
      </c>
      <c r="C10" s="20" t="s">
        <v>78</v>
      </c>
      <c r="D10" s="20" t="s">
        <v>79</v>
      </c>
      <c r="E10" s="20" t="s">
        <v>80</v>
      </c>
      <c r="F10" s="20" t="s">
        <v>81</v>
      </c>
      <c r="G10" s="20" t="s">
        <v>40</v>
      </c>
      <c r="H10" s="20" t="s">
        <v>71</v>
      </c>
      <c r="I10" s="20" t="s">
        <v>31</v>
      </c>
      <c r="J10" s="20" t="s">
        <v>50</v>
      </c>
      <c r="K10" s="20" t="s">
        <v>50</v>
      </c>
      <c r="L10" s="20" t="s">
        <v>43</v>
      </c>
      <c r="M10" s="20">
        <v>127335</v>
      </c>
      <c r="N10" s="20">
        <v>751</v>
      </c>
      <c r="O10" s="27">
        <v>0.59</v>
      </c>
      <c r="P10" s="28">
        <v>0.1014</v>
      </c>
      <c r="Q10" s="20">
        <v>76</v>
      </c>
      <c r="R10" s="23">
        <v>47221.03</v>
      </c>
      <c r="S10" s="20">
        <v>62.88</v>
      </c>
      <c r="T10" s="20">
        <v>621.33000000000004</v>
      </c>
      <c r="U10" s="23">
        <v>63672.84</v>
      </c>
      <c r="V10" s="22">
        <v>0.34839999999999999</v>
      </c>
      <c r="W10" s="22">
        <v>2.6100000000000002E-2</v>
      </c>
      <c r="X10" s="20" t="s">
        <v>51</v>
      </c>
    </row>
    <row r="11" spans="1:24" x14ac:dyDescent="0.25">
      <c r="A11" s="20" t="s">
        <v>82</v>
      </c>
      <c r="B11" s="21">
        <v>45947</v>
      </c>
      <c r="C11" s="20" t="s">
        <v>53</v>
      </c>
      <c r="D11" s="20" t="s">
        <v>54</v>
      </c>
      <c r="E11" s="20" t="s">
        <v>80</v>
      </c>
      <c r="F11" s="20" t="s">
        <v>81</v>
      </c>
      <c r="G11" s="20" t="s">
        <v>83</v>
      </c>
      <c r="H11" s="20" t="s">
        <v>30</v>
      </c>
      <c r="I11" s="20" t="s">
        <v>72</v>
      </c>
      <c r="J11" s="20" t="s">
        <v>73</v>
      </c>
      <c r="K11" s="20" t="s">
        <v>74</v>
      </c>
      <c r="L11" s="20" t="s">
        <v>75</v>
      </c>
      <c r="M11" s="20">
        <v>214179</v>
      </c>
      <c r="N11" s="20">
        <v>7410</v>
      </c>
      <c r="O11" s="27">
        <v>3.46</v>
      </c>
      <c r="P11" s="28">
        <v>6.3E-2</v>
      </c>
      <c r="Q11" s="20">
        <v>466</v>
      </c>
      <c r="R11" s="23">
        <v>101309.77</v>
      </c>
      <c r="S11" s="20">
        <v>13.67</v>
      </c>
      <c r="T11" s="20">
        <v>217.4</v>
      </c>
      <c r="U11" s="23">
        <v>115331.04</v>
      </c>
      <c r="V11" s="22">
        <v>0.1384</v>
      </c>
      <c r="W11" s="22">
        <v>0.14779999999999999</v>
      </c>
      <c r="X11" s="20" t="s">
        <v>51</v>
      </c>
    </row>
    <row r="12" spans="1:24" x14ac:dyDescent="0.25">
      <c r="A12" s="20" t="s">
        <v>84</v>
      </c>
      <c r="B12" s="21">
        <v>45714</v>
      </c>
      <c r="C12" s="20" t="s">
        <v>53</v>
      </c>
      <c r="D12" s="20" t="s">
        <v>54</v>
      </c>
      <c r="E12" s="20" t="s">
        <v>85</v>
      </c>
      <c r="F12" s="20" t="s">
        <v>86</v>
      </c>
      <c r="G12" s="20" t="s">
        <v>29</v>
      </c>
      <c r="H12" s="20" t="s">
        <v>87</v>
      </c>
      <c r="I12" s="20" t="s">
        <v>49</v>
      </c>
      <c r="J12" s="20" t="s">
        <v>88</v>
      </c>
      <c r="K12" s="20" t="s">
        <v>89</v>
      </c>
      <c r="L12" s="20" t="s">
        <v>34</v>
      </c>
      <c r="M12" s="20">
        <v>286342</v>
      </c>
      <c r="N12" s="20">
        <v>3607</v>
      </c>
      <c r="O12" s="27">
        <v>1.26</v>
      </c>
      <c r="P12" s="22">
        <v>0.05</v>
      </c>
      <c r="Q12" s="20">
        <v>180</v>
      </c>
      <c r="R12" s="23">
        <v>8324.2199999999993</v>
      </c>
      <c r="S12" s="20">
        <v>2.31</v>
      </c>
      <c r="T12" s="20">
        <v>46.25</v>
      </c>
      <c r="U12" s="23">
        <v>22566.959999999999</v>
      </c>
      <c r="V12" s="22">
        <v>1.7110000000000001</v>
      </c>
      <c r="W12" s="22">
        <v>9.4E-2</v>
      </c>
      <c r="X12" s="20" t="s">
        <v>35</v>
      </c>
    </row>
    <row r="13" spans="1:24" x14ac:dyDescent="0.25">
      <c r="A13" s="20" t="s">
        <v>90</v>
      </c>
      <c r="B13" s="21">
        <v>45787</v>
      </c>
      <c r="C13" s="20" t="s">
        <v>53</v>
      </c>
      <c r="D13" s="20" t="s">
        <v>54</v>
      </c>
      <c r="E13" s="20" t="s">
        <v>85</v>
      </c>
      <c r="F13" s="20" t="s">
        <v>91</v>
      </c>
      <c r="G13" s="20" t="s">
        <v>83</v>
      </c>
      <c r="H13" s="20" t="s">
        <v>87</v>
      </c>
      <c r="I13" s="20" t="s">
        <v>31</v>
      </c>
      <c r="J13" s="20" t="s">
        <v>92</v>
      </c>
      <c r="K13" s="20" t="s">
        <v>93</v>
      </c>
      <c r="L13" s="20" t="s">
        <v>34</v>
      </c>
      <c r="M13" s="20">
        <v>260888</v>
      </c>
      <c r="N13" s="20">
        <v>20740</v>
      </c>
      <c r="O13" s="27">
        <v>7.95</v>
      </c>
      <c r="P13" s="22">
        <v>6.13E-2</v>
      </c>
      <c r="Q13" s="20">
        <v>1271</v>
      </c>
      <c r="R13" s="23">
        <v>121990.99</v>
      </c>
      <c r="S13" s="20">
        <v>5.88</v>
      </c>
      <c r="T13" s="20">
        <v>95.98</v>
      </c>
      <c r="U13" s="23">
        <v>109486.91</v>
      </c>
      <c r="V13" s="22">
        <v>-0.10249999999999999</v>
      </c>
      <c r="W13" s="22">
        <v>1.9800000000000002E-2</v>
      </c>
      <c r="X13" s="20" t="s">
        <v>51</v>
      </c>
    </row>
    <row r="14" spans="1:24" x14ac:dyDescent="0.25">
      <c r="A14" s="20" t="s">
        <v>94</v>
      </c>
      <c r="B14" s="21">
        <v>45793</v>
      </c>
      <c r="C14" s="20" t="s">
        <v>95</v>
      </c>
      <c r="D14" s="20" t="s">
        <v>79</v>
      </c>
      <c r="E14" s="20" t="s">
        <v>38</v>
      </c>
      <c r="F14" s="20" t="s">
        <v>39</v>
      </c>
      <c r="G14" s="20" t="s">
        <v>63</v>
      </c>
      <c r="H14" s="20" t="s">
        <v>87</v>
      </c>
      <c r="I14" s="20" t="s">
        <v>31</v>
      </c>
      <c r="J14" s="20" t="s">
        <v>96</v>
      </c>
      <c r="K14" s="20" t="s">
        <v>97</v>
      </c>
      <c r="L14" s="20" t="s">
        <v>43</v>
      </c>
      <c r="M14" s="20">
        <v>194662</v>
      </c>
      <c r="N14" s="20">
        <v>3114</v>
      </c>
      <c r="O14" s="27">
        <v>1.6</v>
      </c>
      <c r="P14" s="22">
        <v>6.9699999999999998E-2</v>
      </c>
      <c r="Q14" s="20">
        <v>217</v>
      </c>
      <c r="R14" s="23">
        <v>8706.5400000000009</v>
      </c>
      <c r="S14" s="20">
        <v>2.8</v>
      </c>
      <c r="T14" s="20">
        <v>40.119999999999997</v>
      </c>
      <c r="U14" s="23">
        <v>16670.41</v>
      </c>
      <c r="V14" s="22">
        <v>0.91469999999999996</v>
      </c>
      <c r="W14" s="22">
        <v>0.1469</v>
      </c>
      <c r="X14" s="20" t="s">
        <v>51</v>
      </c>
    </row>
    <row r="15" spans="1:24" x14ac:dyDescent="0.25">
      <c r="A15" s="20" t="s">
        <v>98</v>
      </c>
      <c r="B15" s="21">
        <v>45791</v>
      </c>
      <c r="C15" s="20" t="s">
        <v>99</v>
      </c>
      <c r="D15" s="20" t="s">
        <v>46</v>
      </c>
      <c r="E15" s="20" t="s">
        <v>47</v>
      </c>
      <c r="F15" s="20" t="s">
        <v>48</v>
      </c>
      <c r="G15" s="20" t="s">
        <v>56</v>
      </c>
      <c r="H15" s="20" t="s">
        <v>71</v>
      </c>
      <c r="I15" s="20" t="s">
        <v>49</v>
      </c>
      <c r="J15" s="20" t="s">
        <v>96</v>
      </c>
      <c r="K15" s="20" t="s">
        <v>97</v>
      </c>
      <c r="L15" s="20" t="s">
        <v>43</v>
      </c>
      <c r="M15" s="20">
        <v>413449</v>
      </c>
      <c r="N15" s="20">
        <v>17654</v>
      </c>
      <c r="O15" s="27">
        <v>4.2699999999999996</v>
      </c>
      <c r="P15" s="22">
        <v>0.08</v>
      </c>
      <c r="Q15" s="20">
        <v>1412</v>
      </c>
      <c r="R15" s="23">
        <v>154080.6</v>
      </c>
      <c r="S15" s="20">
        <v>8.73</v>
      </c>
      <c r="T15" s="20">
        <v>109.12</v>
      </c>
      <c r="U15" s="23">
        <v>387250.77</v>
      </c>
      <c r="V15" s="22">
        <v>1.5133000000000001</v>
      </c>
      <c r="W15" s="22">
        <v>0.115</v>
      </c>
      <c r="X15" s="20" t="s">
        <v>35</v>
      </c>
    </row>
    <row r="16" spans="1:24" x14ac:dyDescent="0.25">
      <c r="A16" s="20" t="s">
        <v>100</v>
      </c>
      <c r="B16" s="21">
        <v>45780</v>
      </c>
      <c r="C16" s="20" t="s">
        <v>70</v>
      </c>
      <c r="D16" s="20" t="s">
        <v>54</v>
      </c>
      <c r="E16" s="20" t="s">
        <v>66</v>
      </c>
      <c r="F16" s="20" t="s">
        <v>55</v>
      </c>
      <c r="G16" s="20" t="s">
        <v>40</v>
      </c>
      <c r="H16" s="20" t="s">
        <v>30</v>
      </c>
      <c r="I16" s="20" t="s">
        <v>72</v>
      </c>
      <c r="J16" s="20" t="s">
        <v>32</v>
      </c>
      <c r="K16" s="20" t="s">
        <v>33</v>
      </c>
      <c r="L16" s="20" t="s">
        <v>34</v>
      </c>
      <c r="M16" s="20">
        <v>388256</v>
      </c>
      <c r="N16" s="20">
        <v>2795</v>
      </c>
      <c r="O16" s="27">
        <v>0.72</v>
      </c>
      <c r="P16" s="22">
        <v>1.3100000000000001E-2</v>
      </c>
      <c r="Q16" s="20">
        <v>36</v>
      </c>
      <c r="R16" s="23">
        <v>71295.8</v>
      </c>
      <c r="S16" s="20">
        <v>25.51</v>
      </c>
      <c r="T16" s="20">
        <v>1980.44</v>
      </c>
      <c r="U16" s="23">
        <v>92406.49</v>
      </c>
      <c r="V16" s="22">
        <v>0.29609999999999997</v>
      </c>
      <c r="W16" s="22">
        <v>0.10539999999999999</v>
      </c>
      <c r="X16" s="20" t="s">
        <v>76</v>
      </c>
    </row>
    <row r="17" spans="1:24" x14ac:dyDescent="0.25">
      <c r="A17" s="20" t="s">
        <v>101</v>
      </c>
      <c r="B17" s="21">
        <v>45886</v>
      </c>
      <c r="C17" s="20" t="s">
        <v>53</v>
      </c>
      <c r="D17" s="20" t="s">
        <v>54</v>
      </c>
      <c r="E17" s="20" t="s">
        <v>47</v>
      </c>
      <c r="F17" s="20" t="s">
        <v>48</v>
      </c>
      <c r="G17" s="20" t="s">
        <v>40</v>
      </c>
      <c r="H17" s="20" t="s">
        <v>87</v>
      </c>
      <c r="I17" s="20" t="s">
        <v>31</v>
      </c>
      <c r="J17" s="20" t="s">
        <v>102</v>
      </c>
      <c r="K17" s="20" t="s">
        <v>103</v>
      </c>
      <c r="L17" s="20" t="s">
        <v>75</v>
      </c>
      <c r="M17" s="20">
        <v>108130</v>
      </c>
      <c r="N17" s="20">
        <v>3276</v>
      </c>
      <c r="O17" s="27">
        <v>3.03</v>
      </c>
      <c r="P17" s="22">
        <v>6.3100000000000003E-2</v>
      </c>
      <c r="Q17" s="20">
        <v>206</v>
      </c>
      <c r="R17" s="23">
        <v>246341.75</v>
      </c>
      <c r="S17" s="20">
        <v>75.2</v>
      </c>
      <c r="T17" s="20">
        <v>1195.83</v>
      </c>
      <c r="U17" s="23">
        <v>518204.51</v>
      </c>
      <c r="V17" s="22">
        <v>1.1035999999999999</v>
      </c>
      <c r="W17" s="22">
        <v>5.3E-3</v>
      </c>
      <c r="X17" s="20" t="s">
        <v>76</v>
      </c>
    </row>
    <row r="18" spans="1:24" x14ac:dyDescent="0.25">
      <c r="A18" s="20" t="s">
        <v>104</v>
      </c>
      <c r="B18" s="21">
        <v>45834</v>
      </c>
      <c r="C18" s="20" t="s">
        <v>105</v>
      </c>
      <c r="D18" s="20" t="s">
        <v>46</v>
      </c>
      <c r="E18" s="20" t="s">
        <v>38</v>
      </c>
      <c r="F18" s="20" t="s">
        <v>39</v>
      </c>
      <c r="G18" s="20" t="s">
        <v>83</v>
      </c>
      <c r="H18" s="20" t="s">
        <v>71</v>
      </c>
      <c r="I18" s="20" t="s">
        <v>72</v>
      </c>
      <c r="J18" s="20" t="s">
        <v>106</v>
      </c>
      <c r="K18" s="20" t="s">
        <v>107</v>
      </c>
      <c r="L18" s="20" t="s">
        <v>60</v>
      </c>
      <c r="M18" s="20">
        <v>98596</v>
      </c>
      <c r="N18" s="20">
        <v>3697</v>
      </c>
      <c r="O18" s="27">
        <v>3.75</v>
      </c>
      <c r="P18" s="22">
        <v>7.9899999999999999E-2</v>
      </c>
      <c r="Q18" s="20">
        <v>295</v>
      </c>
      <c r="R18" s="23">
        <v>23513.96</v>
      </c>
      <c r="S18" s="20">
        <v>6.36</v>
      </c>
      <c r="T18" s="20">
        <v>79.709999999999994</v>
      </c>
      <c r="U18" s="23">
        <v>67630.850000000006</v>
      </c>
      <c r="V18" s="22">
        <v>1.8762000000000001</v>
      </c>
      <c r="W18" s="22">
        <v>0.10970000000000001</v>
      </c>
      <c r="X18" s="20" t="s">
        <v>51</v>
      </c>
    </row>
    <row r="19" spans="1:24" x14ac:dyDescent="0.25">
      <c r="A19" s="20" t="s">
        <v>108</v>
      </c>
      <c r="B19" s="21">
        <v>45701</v>
      </c>
      <c r="C19" s="20" t="s">
        <v>25</v>
      </c>
      <c r="D19" s="20" t="s">
        <v>26</v>
      </c>
      <c r="E19" s="20" t="s">
        <v>80</v>
      </c>
      <c r="F19" s="20" t="s">
        <v>81</v>
      </c>
      <c r="G19" s="20" t="s">
        <v>29</v>
      </c>
      <c r="H19" s="20" t="s">
        <v>71</v>
      </c>
      <c r="I19" s="20" t="s">
        <v>49</v>
      </c>
      <c r="J19" s="20" t="s">
        <v>106</v>
      </c>
      <c r="K19" s="20" t="s">
        <v>107</v>
      </c>
      <c r="L19" s="20" t="s">
        <v>60</v>
      </c>
      <c r="M19" s="20">
        <v>248979</v>
      </c>
      <c r="N19" s="20">
        <v>16308</v>
      </c>
      <c r="O19" s="27">
        <v>6.55</v>
      </c>
      <c r="P19" s="22">
        <v>2.6100000000000002E-2</v>
      </c>
      <c r="Q19" s="20">
        <v>425</v>
      </c>
      <c r="R19" s="23">
        <v>206974.6</v>
      </c>
      <c r="S19" s="20">
        <v>12.69</v>
      </c>
      <c r="T19" s="20">
        <v>487</v>
      </c>
      <c r="U19" s="23">
        <v>611547.85</v>
      </c>
      <c r="V19" s="22">
        <v>1.9547000000000001</v>
      </c>
      <c r="W19" s="22">
        <v>0.1003</v>
      </c>
      <c r="X19" s="20" t="s">
        <v>51</v>
      </c>
    </row>
    <row r="20" spans="1:24" x14ac:dyDescent="0.25">
      <c r="A20" s="20" t="s">
        <v>109</v>
      </c>
      <c r="B20" s="21">
        <v>45938</v>
      </c>
      <c r="C20" s="20" t="s">
        <v>99</v>
      </c>
      <c r="D20" s="20" t="s">
        <v>46</v>
      </c>
      <c r="E20" s="20" t="s">
        <v>80</v>
      </c>
      <c r="F20" s="20" t="s">
        <v>81</v>
      </c>
      <c r="G20" s="20" t="s">
        <v>29</v>
      </c>
      <c r="H20" s="20" t="s">
        <v>87</v>
      </c>
      <c r="I20" s="20" t="s">
        <v>49</v>
      </c>
      <c r="J20" s="20" t="s">
        <v>110</v>
      </c>
      <c r="K20" s="20" t="s">
        <v>111</v>
      </c>
      <c r="L20" s="20" t="s">
        <v>112</v>
      </c>
      <c r="M20" s="20">
        <v>494488</v>
      </c>
      <c r="N20" s="20">
        <v>7615</v>
      </c>
      <c r="O20" s="27">
        <v>1.54</v>
      </c>
      <c r="P20" s="22">
        <v>0.11849999999999999</v>
      </c>
      <c r="Q20" s="20">
        <v>902</v>
      </c>
      <c r="R20" s="23">
        <v>50311.75</v>
      </c>
      <c r="S20" s="20">
        <v>6.61</v>
      </c>
      <c r="T20" s="20">
        <v>55.78</v>
      </c>
      <c r="U20" s="23">
        <v>136344.84</v>
      </c>
      <c r="V20" s="22">
        <v>1.71</v>
      </c>
      <c r="W20" s="22">
        <v>9.1000000000000004E-3</v>
      </c>
      <c r="X20" s="20" t="s">
        <v>35</v>
      </c>
    </row>
    <row r="21" spans="1:24" x14ac:dyDescent="0.25">
      <c r="A21" s="20" t="s">
        <v>113</v>
      </c>
      <c r="B21" s="21">
        <v>45914</v>
      </c>
      <c r="C21" s="20" t="s">
        <v>78</v>
      </c>
      <c r="D21" s="20" t="s">
        <v>79</v>
      </c>
      <c r="E21" s="20" t="s">
        <v>38</v>
      </c>
      <c r="F21" s="20" t="s">
        <v>114</v>
      </c>
      <c r="G21" s="20" t="s">
        <v>56</v>
      </c>
      <c r="H21" s="20" t="s">
        <v>30</v>
      </c>
      <c r="I21" s="20" t="s">
        <v>72</v>
      </c>
      <c r="J21" s="20" t="s">
        <v>92</v>
      </c>
      <c r="K21" s="20" t="s">
        <v>93</v>
      </c>
      <c r="L21" s="20" t="s">
        <v>34</v>
      </c>
      <c r="M21" s="20">
        <v>73720</v>
      </c>
      <c r="N21" s="20">
        <v>707</v>
      </c>
      <c r="O21" s="27">
        <v>0.96</v>
      </c>
      <c r="P21" s="22">
        <v>9.1399999999999995E-2</v>
      </c>
      <c r="Q21" s="20">
        <v>64</v>
      </c>
      <c r="R21" s="23">
        <v>224630.59</v>
      </c>
      <c r="S21" s="20">
        <v>317.72000000000003</v>
      </c>
      <c r="T21" s="20">
        <v>3509.85</v>
      </c>
      <c r="U21" s="23">
        <v>499511.03999999998</v>
      </c>
      <c r="V21" s="22">
        <v>1.2237</v>
      </c>
      <c r="W21" s="22">
        <v>0.1232</v>
      </c>
      <c r="X21" s="20" t="s">
        <v>51</v>
      </c>
    </row>
    <row r="22" spans="1:24" x14ac:dyDescent="0.25">
      <c r="A22" s="20" t="s">
        <v>115</v>
      </c>
      <c r="B22" s="21">
        <v>45914</v>
      </c>
      <c r="C22" s="20" t="s">
        <v>25</v>
      </c>
      <c r="D22" s="20" t="s">
        <v>26</v>
      </c>
      <c r="E22" s="20" t="s">
        <v>85</v>
      </c>
      <c r="F22" s="20" t="s">
        <v>86</v>
      </c>
      <c r="G22" s="20" t="s">
        <v>63</v>
      </c>
      <c r="H22" s="20" t="s">
        <v>30</v>
      </c>
      <c r="I22" s="20" t="s">
        <v>31</v>
      </c>
      <c r="J22" s="20" t="s">
        <v>92</v>
      </c>
      <c r="K22" s="20" t="s">
        <v>93</v>
      </c>
      <c r="L22" s="20" t="s">
        <v>34</v>
      </c>
      <c r="M22" s="20">
        <v>235752</v>
      </c>
      <c r="N22" s="20">
        <v>14899</v>
      </c>
      <c r="O22" s="27">
        <v>6.32</v>
      </c>
      <c r="P22" s="22">
        <v>7.6899999999999996E-2</v>
      </c>
      <c r="Q22" s="20">
        <v>1145</v>
      </c>
      <c r="R22" s="23">
        <v>194457.66</v>
      </c>
      <c r="S22" s="20">
        <v>13.05</v>
      </c>
      <c r="T22" s="20">
        <v>169.83</v>
      </c>
      <c r="U22" s="23">
        <v>203111.03</v>
      </c>
      <c r="V22" s="22">
        <v>4.4499999999999998E-2</v>
      </c>
      <c r="W22" s="22">
        <v>2.5499999999999998E-2</v>
      </c>
      <c r="X22" s="20" t="s">
        <v>51</v>
      </c>
    </row>
    <row r="23" spans="1:24" x14ac:dyDescent="0.25">
      <c r="A23" s="20" t="s">
        <v>116</v>
      </c>
      <c r="B23" s="21">
        <v>45719</v>
      </c>
      <c r="C23" s="20" t="s">
        <v>99</v>
      </c>
      <c r="D23" s="20" t="s">
        <v>46</v>
      </c>
      <c r="E23" s="20" t="s">
        <v>62</v>
      </c>
      <c r="F23" s="20" t="s">
        <v>117</v>
      </c>
      <c r="G23" s="20" t="s">
        <v>63</v>
      </c>
      <c r="H23" s="20" t="s">
        <v>30</v>
      </c>
      <c r="I23" s="20" t="s">
        <v>49</v>
      </c>
      <c r="J23" s="20" t="s">
        <v>102</v>
      </c>
      <c r="K23" s="20" t="s">
        <v>103</v>
      </c>
      <c r="L23" s="20" t="s">
        <v>75</v>
      </c>
      <c r="M23" s="20">
        <v>416184</v>
      </c>
      <c r="N23" s="20">
        <v>26302</v>
      </c>
      <c r="O23" s="27">
        <v>6.32</v>
      </c>
      <c r="P23" s="22">
        <v>0.1072</v>
      </c>
      <c r="Q23" s="20">
        <v>2819</v>
      </c>
      <c r="R23" s="23">
        <v>16092</v>
      </c>
      <c r="S23" s="20">
        <v>0.61</v>
      </c>
      <c r="T23" s="20">
        <v>5.71</v>
      </c>
      <c r="U23" s="23">
        <v>18344.88</v>
      </c>
      <c r="V23" s="22">
        <v>0.14000000000000001</v>
      </c>
      <c r="W23" s="22">
        <v>1.11E-2</v>
      </c>
      <c r="X23" s="20" t="s">
        <v>35</v>
      </c>
    </row>
    <row r="24" spans="1:24" x14ac:dyDescent="0.25">
      <c r="A24" s="20" t="s">
        <v>118</v>
      </c>
      <c r="B24" s="21">
        <v>45889</v>
      </c>
      <c r="C24" s="20" t="s">
        <v>99</v>
      </c>
      <c r="D24" s="20" t="s">
        <v>46</v>
      </c>
      <c r="E24" s="20" t="s">
        <v>62</v>
      </c>
      <c r="F24" s="20" t="s">
        <v>28</v>
      </c>
      <c r="G24" s="20" t="s">
        <v>83</v>
      </c>
      <c r="H24" s="20" t="s">
        <v>57</v>
      </c>
      <c r="I24" s="20" t="s">
        <v>49</v>
      </c>
      <c r="J24" s="20" t="s">
        <v>96</v>
      </c>
      <c r="K24" s="20" t="s">
        <v>97</v>
      </c>
      <c r="L24" s="20" t="s">
        <v>43</v>
      </c>
      <c r="M24" s="20">
        <v>322790</v>
      </c>
      <c r="N24" s="20">
        <v>14009</v>
      </c>
      <c r="O24" s="27">
        <v>4.34</v>
      </c>
      <c r="P24" s="22">
        <v>8.6199999999999999E-2</v>
      </c>
      <c r="Q24" s="20">
        <v>1207</v>
      </c>
      <c r="R24" s="23">
        <v>114181.75999999999</v>
      </c>
      <c r="S24" s="20">
        <v>8.15</v>
      </c>
      <c r="T24" s="20">
        <v>94.6</v>
      </c>
      <c r="U24" s="23">
        <v>219982.58</v>
      </c>
      <c r="V24" s="22">
        <v>0.92659999999999998</v>
      </c>
      <c r="W24" s="22">
        <v>7.4300000000000005E-2</v>
      </c>
      <c r="X24" s="20" t="s">
        <v>76</v>
      </c>
    </row>
    <row r="25" spans="1:24" x14ac:dyDescent="0.25">
      <c r="A25" s="20" t="s">
        <v>119</v>
      </c>
      <c r="B25" s="21">
        <v>45925</v>
      </c>
      <c r="C25" s="20" t="s">
        <v>120</v>
      </c>
      <c r="D25" s="20" t="s">
        <v>79</v>
      </c>
      <c r="E25" s="20" t="s">
        <v>85</v>
      </c>
      <c r="F25" s="20" t="s">
        <v>86</v>
      </c>
      <c r="G25" s="20" t="s">
        <v>83</v>
      </c>
      <c r="H25" s="20" t="s">
        <v>71</v>
      </c>
      <c r="I25" s="20" t="s">
        <v>72</v>
      </c>
      <c r="J25" s="20" t="s">
        <v>121</v>
      </c>
      <c r="K25" s="20" t="s">
        <v>74</v>
      </c>
      <c r="L25" s="20" t="s">
        <v>75</v>
      </c>
      <c r="M25" s="20">
        <v>210711</v>
      </c>
      <c r="N25" s="20">
        <v>8049</v>
      </c>
      <c r="O25" s="27">
        <v>3.82</v>
      </c>
      <c r="P25" s="22">
        <v>1.7999999999999999E-2</v>
      </c>
      <c r="Q25" s="20">
        <v>144</v>
      </c>
      <c r="R25" s="23">
        <v>61678.41</v>
      </c>
      <c r="S25" s="20">
        <v>7.66</v>
      </c>
      <c r="T25" s="20">
        <v>428.32</v>
      </c>
      <c r="U25" s="23">
        <v>53549.2</v>
      </c>
      <c r="V25" s="22">
        <v>-0.1318</v>
      </c>
      <c r="W25" s="22">
        <v>0.1021</v>
      </c>
      <c r="X25" s="20" t="s">
        <v>51</v>
      </c>
    </row>
    <row r="26" spans="1:24" x14ac:dyDescent="0.25">
      <c r="A26" s="20" t="s">
        <v>122</v>
      </c>
      <c r="B26" s="21">
        <v>45737</v>
      </c>
      <c r="C26" s="20" t="s">
        <v>53</v>
      </c>
      <c r="D26" s="20" t="s">
        <v>54</v>
      </c>
      <c r="E26" s="20" t="s">
        <v>80</v>
      </c>
      <c r="F26" s="20" t="s">
        <v>123</v>
      </c>
      <c r="G26" s="20" t="s">
        <v>40</v>
      </c>
      <c r="H26" s="20" t="s">
        <v>64</v>
      </c>
      <c r="I26" s="20" t="s">
        <v>31</v>
      </c>
      <c r="J26" s="20" t="s">
        <v>110</v>
      </c>
      <c r="K26" s="20" t="s">
        <v>111</v>
      </c>
      <c r="L26" s="20" t="s">
        <v>112</v>
      </c>
      <c r="M26" s="20">
        <v>54348</v>
      </c>
      <c r="N26" s="20">
        <v>1896</v>
      </c>
      <c r="O26" s="27">
        <v>3.49</v>
      </c>
      <c r="P26" s="22">
        <v>6.3600000000000004E-2</v>
      </c>
      <c r="Q26" s="20">
        <v>120</v>
      </c>
      <c r="R26" s="23">
        <v>247488.12</v>
      </c>
      <c r="S26" s="20">
        <v>130.53</v>
      </c>
      <c r="T26" s="20">
        <v>2062.4</v>
      </c>
      <c r="U26" s="23">
        <v>647082.43999999994</v>
      </c>
      <c r="V26" s="22">
        <v>1.6146</v>
      </c>
      <c r="W26" s="22">
        <v>2.8400000000000002E-2</v>
      </c>
      <c r="X26" s="20" t="s">
        <v>51</v>
      </c>
    </row>
    <row r="27" spans="1:24" x14ac:dyDescent="0.25">
      <c r="A27" s="20" t="s">
        <v>124</v>
      </c>
      <c r="B27" s="21">
        <v>45921</v>
      </c>
      <c r="C27" s="20" t="s">
        <v>70</v>
      </c>
      <c r="D27" s="20" t="s">
        <v>54</v>
      </c>
      <c r="E27" s="20" t="s">
        <v>47</v>
      </c>
      <c r="F27" s="20" t="s">
        <v>125</v>
      </c>
      <c r="G27" s="20" t="s">
        <v>40</v>
      </c>
      <c r="H27" s="20" t="s">
        <v>57</v>
      </c>
      <c r="I27" s="20" t="s">
        <v>72</v>
      </c>
      <c r="J27" s="20" t="s">
        <v>121</v>
      </c>
      <c r="K27" s="20" t="s">
        <v>74</v>
      </c>
      <c r="L27" s="20" t="s">
        <v>75</v>
      </c>
      <c r="M27" s="20">
        <v>383615</v>
      </c>
      <c r="N27" s="20">
        <v>12429</v>
      </c>
      <c r="O27" s="27">
        <v>3.24</v>
      </c>
      <c r="P27" s="22">
        <v>4.7199999999999999E-2</v>
      </c>
      <c r="Q27" s="20">
        <v>586</v>
      </c>
      <c r="R27" s="23">
        <v>115750.35</v>
      </c>
      <c r="S27" s="20">
        <v>9.31</v>
      </c>
      <c r="T27" s="20">
        <v>197.53</v>
      </c>
      <c r="U27" s="23">
        <v>268216.71000000002</v>
      </c>
      <c r="V27" s="22">
        <v>1.3171999999999999</v>
      </c>
      <c r="W27" s="22">
        <v>6.0699999999999997E-2</v>
      </c>
      <c r="X27" s="20" t="s">
        <v>51</v>
      </c>
    </row>
    <row r="28" spans="1:24" x14ac:dyDescent="0.25">
      <c r="A28" s="20" t="s">
        <v>126</v>
      </c>
      <c r="B28" s="21">
        <v>45809</v>
      </c>
      <c r="C28" s="20" t="s">
        <v>99</v>
      </c>
      <c r="D28" s="20" t="s">
        <v>46</v>
      </c>
      <c r="E28" s="20" t="s">
        <v>62</v>
      </c>
      <c r="F28" s="20" t="s">
        <v>28</v>
      </c>
      <c r="G28" s="20" t="s">
        <v>40</v>
      </c>
      <c r="H28" s="20" t="s">
        <v>87</v>
      </c>
      <c r="I28" s="20" t="s">
        <v>31</v>
      </c>
      <c r="J28" s="20" t="s">
        <v>127</v>
      </c>
      <c r="K28" s="20" t="s">
        <v>128</v>
      </c>
      <c r="L28" s="20" t="s">
        <v>60</v>
      </c>
      <c r="M28" s="20">
        <v>147564</v>
      </c>
      <c r="N28" s="20">
        <v>1180</v>
      </c>
      <c r="O28" s="27">
        <v>0.8</v>
      </c>
      <c r="P28" s="22">
        <v>9.5699999999999993E-2</v>
      </c>
      <c r="Q28" s="20">
        <v>112</v>
      </c>
      <c r="R28" s="23">
        <v>69070.63</v>
      </c>
      <c r="S28" s="20">
        <v>58.53</v>
      </c>
      <c r="T28" s="20">
        <v>616.70000000000005</v>
      </c>
      <c r="U28" s="23">
        <v>68932.490000000005</v>
      </c>
      <c r="V28" s="22">
        <v>-2E-3</v>
      </c>
      <c r="W28" s="22">
        <v>6.6199999999999995E-2</v>
      </c>
      <c r="X28" s="20" t="s">
        <v>76</v>
      </c>
    </row>
    <row r="29" spans="1:24" x14ac:dyDescent="0.25">
      <c r="A29" s="20" t="s">
        <v>129</v>
      </c>
      <c r="B29" s="21">
        <v>45790</v>
      </c>
      <c r="C29" s="20" t="s">
        <v>70</v>
      </c>
      <c r="D29" s="20" t="s">
        <v>54</v>
      </c>
      <c r="E29" s="20" t="s">
        <v>80</v>
      </c>
      <c r="F29" s="20" t="s">
        <v>123</v>
      </c>
      <c r="G29" s="20" t="s">
        <v>56</v>
      </c>
      <c r="H29" s="20" t="s">
        <v>87</v>
      </c>
      <c r="I29" s="20" t="s">
        <v>72</v>
      </c>
      <c r="J29" s="20" t="s">
        <v>130</v>
      </c>
      <c r="K29" s="20" t="s">
        <v>130</v>
      </c>
      <c r="L29" s="20" t="s">
        <v>43</v>
      </c>
      <c r="M29" s="20">
        <v>424214</v>
      </c>
      <c r="N29" s="20">
        <v>24010</v>
      </c>
      <c r="O29" s="27">
        <v>5.66</v>
      </c>
      <c r="P29" s="22">
        <v>5.6800000000000003E-2</v>
      </c>
      <c r="Q29" s="20">
        <v>1363</v>
      </c>
      <c r="R29" s="23">
        <v>19958.7</v>
      </c>
      <c r="S29" s="20">
        <v>0.83</v>
      </c>
      <c r="T29" s="20">
        <v>14.64</v>
      </c>
      <c r="U29" s="23">
        <v>57045.96</v>
      </c>
      <c r="V29" s="22">
        <v>1.8582000000000001</v>
      </c>
      <c r="W29" s="22">
        <v>9.7000000000000003E-2</v>
      </c>
      <c r="X29" s="20" t="s">
        <v>51</v>
      </c>
    </row>
    <row r="30" spans="1:24" x14ac:dyDescent="0.25">
      <c r="A30" s="20" t="s">
        <v>131</v>
      </c>
      <c r="B30" s="21">
        <v>45700</v>
      </c>
      <c r="C30" s="20" t="s">
        <v>45</v>
      </c>
      <c r="D30" s="20" t="s">
        <v>46</v>
      </c>
      <c r="E30" s="20" t="s">
        <v>38</v>
      </c>
      <c r="F30" s="20" t="s">
        <v>39</v>
      </c>
      <c r="G30" s="20" t="s">
        <v>29</v>
      </c>
      <c r="H30" s="20" t="s">
        <v>57</v>
      </c>
      <c r="I30" s="20" t="s">
        <v>31</v>
      </c>
      <c r="J30" s="20" t="s">
        <v>102</v>
      </c>
      <c r="K30" s="20" t="s">
        <v>103</v>
      </c>
      <c r="L30" s="20" t="s">
        <v>75</v>
      </c>
      <c r="M30" s="20">
        <v>11053</v>
      </c>
      <c r="N30" s="20">
        <v>336</v>
      </c>
      <c r="O30" s="27">
        <v>3.04</v>
      </c>
      <c r="P30" s="22">
        <v>7.0800000000000002E-2</v>
      </c>
      <c r="Q30" s="20">
        <v>23</v>
      </c>
      <c r="R30" s="23">
        <v>231813.98</v>
      </c>
      <c r="S30" s="20">
        <v>689.92</v>
      </c>
      <c r="T30" s="20">
        <v>10078.870000000001</v>
      </c>
      <c r="U30" s="23">
        <v>305090.38</v>
      </c>
      <c r="V30" s="22">
        <v>0.31609999999999999</v>
      </c>
      <c r="W30" s="22">
        <v>2.3699999999999999E-2</v>
      </c>
      <c r="X30" s="20" t="s">
        <v>51</v>
      </c>
    </row>
    <row r="31" spans="1:24" x14ac:dyDescent="0.25">
      <c r="A31" s="20" t="s">
        <v>132</v>
      </c>
      <c r="B31" s="21">
        <v>45780</v>
      </c>
      <c r="C31" s="20" t="s">
        <v>105</v>
      </c>
      <c r="D31" s="20" t="s">
        <v>46</v>
      </c>
      <c r="E31" s="20" t="s">
        <v>80</v>
      </c>
      <c r="F31" s="20" t="s">
        <v>123</v>
      </c>
      <c r="G31" s="20" t="s">
        <v>29</v>
      </c>
      <c r="H31" s="20" t="s">
        <v>71</v>
      </c>
      <c r="I31" s="20" t="s">
        <v>31</v>
      </c>
      <c r="J31" s="20" t="s">
        <v>106</v>
      </c>
      <c r="K31" s="20" t="s">
        <v>107</v>
      </c>
      <c r="L31" s="20" t="s">
        <v>60</v>
      </c>
      <c r="M31" s="20">
        <v>168573</v>
      </c>
      <c r="N31" s="20">
        <v>8799</v>
      </c>
      <c r="O31" s="27">
        <v>5.22</v>
      </c>
      <c r="P31" s="22">
        <v>6.8400000000000002E-2</v>
      </c>
      <c r="Q31" s="20">
        <v>601</v>
      </c>
      <c r="R31" s="23">
        <v>53056.14</v>
      </c>
      <c r="S31" s="20">
        <v>6.03</v>
      </c>
      <c r="T31" s="20">
        <v>88.28</v>
      </c>
      <c r="U31" s="23">
        <v>91527.15</v>
      </c>
      <c r="V31" s="22">
        <v>0.72509999999999997</v>
      </c>
      <c r="W31" s="22">
        <v>0.10249999999999999</v>
      </c>
      <c r="X31" s="20" t="s">
        <v>35</v>
      </c>
    </row>
    <row r="32" spans="1:24" x14ac:dyDescent="0.25">
      <c r="A32" s="20" t="s">
        <v>133</v>
      </c>
      <c r="B32" s="21">
        <v>45667</v>
      </c>
      <c r="C32" s="20" t="s">
        <v>120</v>
      </c>
      <c r="D32" s="20" t="s">
        <v>79</v>
      </c>
      <c r="E32" s="20" t="s">
        <v>62</v>
      </c>
      <c r="F32" s="20" t="s">
        <v>28</v>
      </c>
      <c r="G32" s="20" t="s">
        <v>29</v>
      </c>
      <c r="H32" s="20" t="s">
        <v>30</v>
      </c>
      <c r="I32" s="20" t="s">
        <v>49</v>
      </c>
      <c r="J32" s="20" t="s">
        <v>134</v>
      </c>
      <c r="K32" s="20" t="s">
        <v>135</v>
      </c>
      <c r="L32" s="20" t="s">
        <v>34</v>
      </c>
      <c r="M32" s="20">
        <v>274607</v>
      </c>
      <c r="N32" s="20">
        <v>11149</v>
      </c>
      <c r="O32" s="27">
        <v>4.0599999999999996</v>
      </c>
      <c r="P32" s="22">
        <v>0.1128</v>
      </c>
      <c r="Q32" s="20">
        <v>1257</v>
      </c>
      <c r="R32" s="23">
        <v>28357.77</v>
      </c>
      <c r="S32" s="20">
        <v>2.54</v>
      </c>
      <c r="T32" s="20">
        <v>22.56</v>
      </c>
      <c r="U32" s="23">
        <v>73262.3</v>
      </c>
      <c r="V32" s="22">
        <v>1.5834999999999999</v>
      </c>
      <c r="W32" s="22">
        <v>6.7699999999999996E-2</v>
      </c>
      <c r="X32" s="20" t="s">
        <v>51</v>
      </c>
    </row>
    <row r="33" spans="1:24" x14ac:dyDescent="0.25">
      <c r="A33" s="20" t="s">
        <v>136</v>
      </c>
      <c r="B33" s="21">
        <v>45859</v>
      </c>
      <c r="C33" s="20" t="s">
        <v>99</v>
      </c>
      <c r="D33" s="20" t="s">
        <v>46</v>
      </c>
      <c r="E33" s="20" t="s">
        <v>47</v>
      </c>
      <c r="F33" s="20" t="s">
        <v>48</v>
      </c>
      <c r="G33" s="20" t="s">
        <v>40</v>
      </c>
      <c r="H33" s="20" t="s">
        <v>57</v>
      </c>
      <c r="I33" s="20" t="s">
        <v>31</v>
      </c>
      <c r="J33" s="20" t="s">
        <v>92</v>
      </c>
      <c r="K33" s="20" t="s">
        <v>93</v>
      </c>
      <c r="L33" s="20" t="s">
        <v>34</v>
      </c>
      <c r="M33" s="20">
        <v>467384</v>
      </c>
      <c r="N33" s="20">
        <v>27108</v>
      </c>
      <c r="O33" s="27">
        <v>5.8</v>
      </c>
      <c r="P33" s="22">
        <v>0.08</v>
      </c>
      <c r="Q33" s="20">
        <v>2168</v>
      </c>
      <c r="R33" s="23">
        <v>102365.03</v>
      </c>
      <c r="S33" s="20">
        <v>3.78</v>
      </c>
      <c r="T33" s="20">
        <v>47.22</v>
      </c>
      <c r="U33" s="23">
        <v>153486.13</v>
      </c>
      <c r="V33" s="22">
        <v>0.49940000000000001</v>
      </c>
      <c r="W33" s="22">
        <v>1.29E-2</v>
      </c>
      <c r="X33" s="20" t="s">
        <v>35</v>
      </c>
    </row>
    <row r="34" spans="1:24" x14ac:dyDescent="0.25">
      <c r="A34" s="20" t="s">
        <v>137</v>
      </c>
      <c r="B34" s="21">
        <v>45694</v>
      </c>
      <c r="C34" s="20" t="s">
        <v>120</v>
      </c>
      <c r="D34" s="20" t="s">
        <v>79</v>
      </c>
      <c r="E34" s="20" t="s">
        <v>27</v>
      </c>
      <c r="F34" s="20" t="s">
        <v>28</v>
      </c>
      <c r="G34" s="20" t="s">
        <v>29</v>
      </c>
      <c r="H34" s="20" t="s">
        <v>87</v>
      </c>
      <c r="I34" s="20" t="s">
        <v>49</v>
      </c>
      <c r="J34" s="20" t="s">
        <v>92</v>
      </c>
      <c r="K34" s="20" t="s">
        <v>93</v>
      </c>
      <c r="L34" s="20" t="s">
        <v>34</v>
      </c>
      <c r="M34" s="20">
        <v>204691</v>
      </c>
      <c r="N34" s="20">
        <v>14389</v>
      </c>
      <c r="O34" s="27">
        <v>7.03</v>
      </c>
      <c r="P34" s="22">
        <v>8.3799999999999999E-2</v>
      </c>
      <c r="Q34" s="20">
        <v>1205</v>
      </c>
      <c r="R34" s="23">
        <v>71919.45</v>
      </c>
      <c r="S34" s="20">
        <v>5</v>
      </c>
      <c r="T34" s="20">
        <v>59.68</v>
      </c>
      <c r="U34" s="23">
        <v>90409.94</v>
      </c>
      <c r="V34" s="22">
        <v>0.2571</v>
      </c>
      <c r="W34" s="22">
        <v>4.7500000000000001E-2</v>
      </c>
      <c r="X34" s="20" t="s">
        <v>51</v>
      </c>
    </row>
    <row r="35" spans="1:24" x14ac:dyDescent="0.25">
      <c r="A35" s="20" t="s">
        <v>138</v>
      </c>
      <c r="B35" s="21">
        <v>45738</v>
      </c>
      <c r="C35" s="20" t="s">
        <v>120</v>
      </c>
      <c r="D35" s="20" t="s">
        <v>79</v>
      </c>
      <c r="E35" s="20" t="s">
        <v>27</v>
      </c>
      <c r="F35" s="20" t="s">
        <v>28</v>
      </c>
      <c r="G35" s="20" t="s">
        <v>56</v>
      </c>
      <c r="H35" s="20" t="s">
        <v>57</v>
      </c>
      <c r="I35" s="20" t="s">
        <v>72</v>
      </c>
      <c r="J35" s="20" t="s">
        <v>96</v>
      </c>
      <c r="K35" s="20" t="s">
        <v>97</v>
      </c>
      <c r="L35" s="20" t="s">
        <v>43</v>
      </c>
      <c r="M35" s="20">
        <v>174624</v>
      </c>
      <c r="N35" s="20">
        <v>4068</v>
      </c>
      <c r="O35" s="27">
        <v>2.33</v>
      </c>
      <c r="P35" s="22">
        <v>0.1162</v>
      </c>
      <c r="Q35" s="20">
        <v>472</v>
      </c>
      <c r="R35" s="23">
        <v>78767.88</v>
      </c>
      <c r="S35" s="20">
        <v>19.36</v>
      </c>
      <c r="T35" s="20">
        <v>166.88</v>
      </c>
      <c r="U35" s="23">
        <v>119735.05</v>
      </c>
      <c r="V35" s="22">
        <v>0.52010000000000001</v>
      </c>
      <c r="W35" s="22">
        <v>5.1999999999999998E-3</v>
      </c>
      <c r="X35" s="20" t="s">
        <v>51</v>
      </c>
    </row>
    <row r="36" spans="1:24" x14ac:dyDescent="0.25">
      <c r="A36" s="20" t="s">
        <v>139</v>
      </c>
      <c r="B36" s="21">
        <v>45901</v>
      </c>
      <c r="C36" s="20" t="s">
        <v>120</v>
      </c>
      <c r="D36" s="20" t="s">
        <v>79</v>
      </c>
      <c r="E36" s="20" t="s">
        <v>85</v>
      </c>
      <c r="F36" s="20" t="s">
        <v>86</v>
      </c>
      <c r="G36" s="20" t="s">
        <v>40</v>
      </c>
      <c r="H36" s="20" t="s">
        <v>30</v>
      </c>
      <c r="I36" s="20" t="s">
        <v>31</v>
      </c>
      <c r="J36" s="20" t="s">
        <v>121</v>
      </c>
      <c r="K36" s="20" t="s">
        <v>74</v>
      </c>
      <c r="L36" s="20" t="s">
        <v>75</v>
      </c>
      <c r="M36" s="20">
        <v>143500</v>
      </c>
      <c r="N36" s="20">
        <v>9514</v>
      </c>
      <c r="O36" s="27">
        <v>6.63</v>
      </c>
      <c r="P36" s="22">
        <v>2.58E-2</v>
      </c>
      <c r="Q36" s="20">
        <v>245</v>
      </c>
      <c r="R36" s="23">
        <v>147526.57999999999</v>
      </c>
      <c r="S36" s="20">
        <v>15.51</v>
      </c>
      <c r="T36" s="20">
        <v>602.15</v>
      </c>
      <c r="U36" s="23">
        <v>236957.19</v>
      </c>
      <c r="V36" s="22">
        <v>0.60619999999999996</v>
      </c>
      <c r="W36" s="22">
        <v>4.8399999999999999E-2</v>
      </c>
      <c r="X36" s="20" t="s">
        <v>51</v>
      </c>
    </row>
    <row r="37" spans="1:24" x14ac:dyDescent="0.25">
      <c r="A37" s="20" t="s">
        <v>140</v>
      </c>
      <c r="B37" s="21">
        <v>45701</v>
      </c>
      <c r="C37" s="20" t="s">
        <v>45</v>
      </c>
      <c r="D37" s="20" t="s">
        <v>46</v>
      </c>
      <c r="E37" s="20" t="s">
        <v>85</v>
      </c>
      <c r="F37" s="20" t="s">
        <v>86</v>
      </c>
      <c r="G37" s="20" t="s">
        <v>63</v>
      </c>
      <c r="H37" s="20" t="s">
        <v>64</v>
      </c>
      <c r="I37" s="20" t="s">
        <v>72</v>
      </c>
      <c r="J37" s="20" t="s">
        <v>110</v>
      </c>
      <c r="K37" s="20" t="s">
        <v>111</v>
      </c>
      <c r="L37" s="20" t="s">
        <v>112</v>
      </c>
      <c r="M37" s="20">
        <v>264098</v>
      </c>
      <c r="N37" s="20">
        <v>4278</v>
      </c>
      <c r="O37" s="27">
        <v>1.62</v>
      </c>
      <c r="P37" s="22">
        <v>8.9700000000000002E-2</v>
      </c>
      <c r="Q37" s="20">
        <v>383</v>
      </c>
      <c r="R37" s="23">
        <v>161518.42000000001</v>
      </c>
      <c r="S37" s="20">
        <v>37.76</v>
      </c>
      <c r="T37" s="20">
        <v>421.72</v>
      </c>
      <c r="U37" s="23">
        <v>129327.8</v>
      </c>
      <c r="V37" s="22">
        <v>-0.1993</v>
      </c>
      <c r="W37" s="22">
        <v>0.12609999999999999</v>
      </c>
      <c r="X37" s="20" t="s">
        <v>51</v>
      </c>
    </row>
    <row r="38" spans="1:24" x14ac:dyDescent="0.25">
      <c r="A38" s="20" t="s">
        <v>141</v>
      </c>
      <c r="B38" s="21">
        <v>45877</v>
      </c>
      <c r="C38" s="20" t="s">
        <v>99</v>
      </c>
      <c r="D38" s="20" t="s">
        <v>46</v>
      </c>
      <c r="E38" s="20" t="s">
        <v>80</v>
      </c>
      <c r="F38" s="20" t="s">
        <v>81</v>
      </c>
      <c r="G38" s="20" t="s">
        <v>63</v>
      </c>
      <c r="H38" s="20" t="s">
        <v>71</v>
      </c>
      <c r="I38" s="20" t="s">
        <v>31</v>
      </c>
      <c r="J38" s="20" t="s">
        <v>130</v>
      </c>
      <c r="K38" s="20" t="s">
        <v>130</v>
      </c>
      <c r="L38" s="20" t="s">
        <v>43</v>
      </c>
      <c r="M38" s="20">
        <v>26947</v>
      </c>
      <c r="N38" s="20">
        <v>404</v>
      </c>
      <c r="O38" s="27">
        <v>1.5</v>
      </c>
      <c r="P38" s="22">
        <v>4.9700000000000001E-2</v>
      </c>
      <c r="Q38" s="20">
        <v>20</v>
      </c>
      <c r="R38" s="23">
        <v>28019.279999999999</v>
      </c>
      <c r="S38" s="20">
        <v>69.349999999999994</v>
      </c>
      <c r="T38" s="20">
        <v>1400.96</v>
      </c>
      <c r="U38" s="23">
        <v>73477.759999999995</v>
      </c>
      <c r="V38" s="22">
        <v>1.6224000000000001</v>
      </c>
      <c r="W38" s="22">
        <v>8.5999999999999993E-2</v>
      </c>
      <c r="X38" s="20" t="s">
        <v>51</v>
      </c>
    </row>
    <row r="39" spans="1:24" x14ac:dyDescent="0.25">
      <c r="A39" s="20" t="s">
        <v>142</v>
      </c>
      <c r="B39" s="21">
        <v>45930</v>
      </c>
      <c r="C39" s="20" t="s">
        <v>78</v>
      </c>
      <c r="D39" s="20" t="s">
        <v>79</v>
      </c>
      <c r="E39" s="20" t="s">
        <v>27</v>
      </c>
      <c r="F39" s="20" t="s">
        <v>55</v>
      </c>
      <c r="G39" s="20" t="s">
        <v>29</v>
      </c>
      <c r="H39" s="20" t="s">
        <v>64</v>
      </c>
      <c r="I39" s="20" t="s">
        <v>31</v>
      </c>
      <c r="J39" s="20" t="s">
        <v>110</v>
      </c>
      <c r="K39" s="20" t="s">
        <v>111</v>
      </c>
      <c r="L39" s="20" t="s">
        <v>112</v>
      </c>
      <c r="M39" s="20">
        <v>493900</v>
      </c>
      <c r="N39" s="20">
        <v>21089</v>
      </c>
      <c r="O39" s="27">
        <v>4.2699999999999996</v>
      </c>
      <c r="P39" s="22">
        <v>6.8900000000000003E-2</v>
      </c>
      <c r="Q39" s="20">
        <v>1453</v>
      </c>
      <c r="R39" s="23">
        <v>165506.26999999999</v>
      </c>
      <c r="S39" s="20">
        <v>7.85</v>
      </c>
      <c r="T39" s="20">
        <v>113.91</v>
      </c>
      <c r="U39" s="23">
        <v>140994.79</v>
      </c>
      <c r="V39" s="22">
        <v>-0.14810000000000001</v>
      </c>
      <c r="W39" s="22">
        <v>0.1118</v>
      </c>
      <c r="X39" s="20" t="s">
        <v>35</v>
      </c>
    </row>
    <row r="40" spans="1:24" x14ac:dyDescent="0.25">
      <c r="A40" s="20" t="s">
        <v>143</v>
      </c>
      <c r="B40" s="21">
        <v>45696</v>
      </c>
      <c r="C40" s="20" t="s">
        <v>120</v>
      </c>
      <c r="D40" s="20" t="s">
        <v>79</v>
      </c>
      <c r="E40" s="20" t="s">
        <v>80</v>
      </c>
      <c r="F40" s="20" t="s">
        <v>81</v>
      </c>
      <c r="G40" s="20" t="s">
        <v>40</v>
      </c>
      <c r="H40" s="20" t="s">
        <v>64</v>
      </c>
      <c r="I40" s="20" t="s">
        <v>72</v>
      </c>
      <c r="J40" s="20" t="s">
        <v>92</v>
      </c>
      <c r="K40" s="20" t="s">
        <v>93</v>
      </c>
      <c r="L40" s="20" t="s">
        <v>34</v>
      </c>
      <c r="M40" s="20">
        <v>205571</v>
      </c>
      <c r="N40" s="20">
        <v>2220</v>
      </c>
      <c r="O40" s="27">
        <v>1.08</v>
      </c>
      <c r="P40" s="22">
        <v>0.11020000000000001</v>
      </c>
      <c r="Q40" s="20">
        <v>244</v>
      </c>
      <c r="R40" s="23">
        <v>73255.149999999994</v>
      </c>
      <c r="S40" s="20">
        <v>33</v>
      </c>
      <c r="T40" s="20">
        <v>300.23</v>
      </c>
      <c r="U40" s="23">
        <v>59153.53</v>
      </c>
      <c r="V40" s="22">
        <v>-0.1925</v>
      </c>
      <c r="W40" s="22">
        <v>9.6799999999999997E-2</v>
      </c>
      <c r="X40" s="20" t="s">
        <v>35</v>
      </c>
    </row>
    <row r="41" spans="1:24" x14ac:dyDescent="0.25">
      <c r="A41" s="20" t="s">
        <v>144</v>
      </c>
      <c r="B41" s="21">
        <v>45733</v>
      </c>
      <c r="C41" s="20" t="s">
        <v>53</v>
      </c>
      <c r="D41" s="20" t="s">
        <v>54</v>
      </c>
      <c r="E41" s="20" t="s">
        <v>47</v>
      </c>
      <c r="F41" s="20" t="s">
        <v>125</v>
      </c>
      <c r="G41" s="20" t="s">
        <v>63</v>
      </c>
      <c r="H41" s="20" t="s">
        <v>30</v>
      </c>
      <c r="I41" s="20" t="s">
        <v>31</v>
      </c>
      <c r="J41" s="20" t="s">
        <v>130</v>
      </c>
      <c r="K41" s="20" t="s">
        <v>130</v>
      </c>
      <c r="L41" s="20" t="s">
        <v>43</v>
      </c>
      <c r="M41" s="20">
        <v>257927</v>
      </c>
      <c r="N41" s="20">
        <v>2450</v>
      </c>
      <c r="O41" s="27">
        <v>0.95</v>
      </c>
      <c r="P41" s="22">
        <v>3.9600000000000003E-2</v>
      </c>
      <c r="Q41" s="20">
        <v>97</v>
      </c>
      <c r="R41" s="23">
        <v>168656.39</v>
      </c>
      <c r="S41" s="20">
        <v>68.84</v>
      </c>
      <c r="T41" s="20">
        <v>1738.73</v>
      </c>
      <c r="U41" s="23">
        <v>386560.45</v>
      </c>
      <c r="V41" s="22">
        <v>1.292</v>
      </c>
      <c r="W41" s="22">
        <v>0.10299999999999999</v>
      </c>
      <c r="X41" s="20" t="s">
        <v>35</v>
      </c>
    </row>
    <row r="42" spans="1:24" x14ac:dyDescent="0.25">
      <c r="A42" s="20" t="s">
        <v>145</v>
      </c>
      <c r="B42" s="21">
        <v>45922</v>
      </c>
      <c r="C42" s="20" t="s">
        <v>120</v>
      </c>
      <c r="D42" s="20" t="s">
        <v>79</v>
      </c>
      <c r="E42" s="20" t="s">
        <v>27</v>
      </c>
      <c r="F42" s="20" t="s">
        <v>55</v>
      </c>
      <c r="G42" s="20" t="s">
        <v>83</v>
      </c>
      <c r="H42" s="20" t="s">
        <v>87</v>
      </c>
      <c r="I42" s="20" t="s">
        <v>49</v>
      </c>
      <c r="J42" s="20" t="s">
        <v>134</v>
      </c>
      <c r="K42" s="20" t="s">
        <v>135</v>
      </c>
      <c r="L42" s="20" t="s">
        <v>34</v>
      </c>
      <c r="M42" s="20">
        <v>168407</v>
      </c>
      <c r="N42" s="20">
        <v>13203</v>
      </c>
      <c r="O42" s="27">
        <v>7.84</v>
      </c>
      <c r="P42" s="22">
        <v>0.113</v>
      </c>
      <c r="Q42" s="20">
        <v>1491</v>
      </c>
      <c r="R42" s="23">
        <v>6341.11</v>
      </c>
      <c r="S42" s="20">
        <v>0.48</v>
      </c>
      <c r="T42" s="20">
        <v>4.25</v>
      </c>
      <c r="U42" s="23">
        <v>11132.45</v>
      </c>
      <c r="V42" s="22">
        <v>0.75560000000000005</v>
      </c>
      <c r="W42" s="22">
        <v>0.1239</v>
      </c>
      <c r="X42" s="20" t="s">
        <v>76</v>
      </c>
    </row>
    <row r="43" spans="1:24" x14ac:dyDescent="0.25">
      <c r="A43" s="20" t="s">
        <v>146</v>
      </c>
      <c r="B43" s="21">
        <v>45888</v>
      </c>
      <c r="C43" s="20" t="s">
        <v>120</v>
      </c>
      <c r="D43" s="20" t="s">
        <v>79</v>
      </c>
      <c r="E43" s="20" t="s">
        <v>27</v>
      </c>
      <c r="F43" s="20" t="s">
        <v>28</v>
      </c>
      <c r="G43" s="20" t="s">
        <v>40</v>
      </c>
      <c r="H43" s="20" t="s">
        <v>87</v>
      </c>
      <c r="I43" s="20" t="s">
        <v>49</v>
      </c>
      <c r="J43" s="20" t="s">
        <v>121</v>
      </c>
      <c r="K43" s="20" t="s">
        <v>74</v>
      </c>
      <c r="L43" s="20" t="s">
        <v>75</v>
      </c>
      <c r="M43" s="20">
        <v>79312</v>
      </c>
      <c r="N43" s="20">
        <v>4845</v>
      </c>
      <c r="O43" s="27">
        <v>6.11</v>
      </c>
      <c r="P43" s="22">
        <v>3.8800000000000001E-2</v>
      </c>
      <c r="Q43" s="20">
        <v>187</v>
      </c>
      <c r="R43" s="23">
        <v>91169.29</v>
      </c>
      <c r="S43" s="20">
        <v>18.82</v>
      </c>
      <c r="T43" s="20">
        <v>487.54</v>
      </c>
      <c r="U43" s="23">
        <v>190334.13</v>
      </c>
      <c r="V43" s="22">
        <v>1.0876999999999999</v>
      </c>
      <c r="W43" s="22">
        <v>9.6600000000000005E-2</v>
      </c>
      <c r="X43" s="20" t="s">
        <v>35</v>
      </c>
    </row>
    <row r="44" spans="1:24" x14ac:dyDescent="0.25">
      <c r="A44" s="20" t="s">
        <v>147</v>
      </c>
      <c r="B44" s="21">
        <v>45715</v>
      </c>
      <c r="C44" s="20" t="s">
        <v>53</v>
      </c>
      <c r="D44" s="20" t="s">
        <v>54</v>
      </c>
      <c r="E44" s="20" t="s">
        <v>80</v>
      </c>
      <c r="F44" s="20" t="s">
        <v>123</v>
      </c>
      <c r="G44" s="20" t="s">
        <v>83</v>
      </c>
      <c r="H44" s="20" t="s">
        <v>64</v>
      </c>
      <c r="I44" s="20" t="s">
        <v>31</v>
      </c>
      <c r="J44" s="20" t="s">
        <v>88</v>
      </c>
      <c r="K44" s="20" t="s">
        <v>89</v>
      </c>
      <c r="L44" s="20" t="s">
        <v>34</v>
      </c>
      <c r="M44" s="20">
        <v>6882</v>
      </c>
      <c r="N44" s="20">
        <v>524</v>
      </c>
      <c r="O44" s="27">
        <v>7.62</v>
      </c>
      <c r="P44" s="22">
        <v>8.5000000000000006E-2</v>
      </c>
      <c r="Q44" s="20">
        <v>44</v>
      </c>
      <c r="R44" s="23">
        <v>102543.99</v>
      </c>
      <c r="S44" s="20">
        <v>195.69</v>
      </c>
      <c r="T44" s="20">
        <v>2330.5500000000002</v>
      </c>
      <c r="U44" s="23">
        <v>243285.62</v>
      </c>
      <c r="V44" s="22">
        <v>1.3725000000000001</v>
      </c>
      <c r="W44" s="22">
        <v>6.5299999999999997E-2</v>
      </c>
      <c r="X44" s="20" t="s">
        <v>51</v>
      </c>
    </row>
    <row r="45" spans="1:24" x14ac:dyDescent="0.25">
      <c r="A45" s="20" t="s">
        <v>148</v>
      </c>
      <c r="B45" s="21">
        <v>45719</v>
      </c>
      <c r="C45" s="20" t="s">
        <v>53</v>
      </c>
      <c r="D45" s="20" t="s">
        <v>54</v>
      </c>
      <c r="E45" s="20" t="s">
        <v>62</v>
      </c>
      <c r="F45" s="20" t="s">
        <v>117</v>
      </c>
      <c r="G45" s="20" t="s">
        <v>56</v>
      </c>
      <c r="H45" s="20" t="s">
        <v>64</v>
      </c>
      <c r="I45" s="20" t="s">
        <v>31</v>
      </c>
      <c r="J45" s="20" t="s">
        <v>106</v>
      </c>
      <c r="K45" s="20" t="s">
        <v>107</v>
      </c>
      <c r="L45" s="20" t="s">
        <v>60</v>
      </c>
      <c r="M45" s="20">
        <v>107624</v>
      </c>
      <c r="N45" s="20">
        <v>6296</v>
      </c>
      <c r="O45" s="27">
        <v>5.85</v>
      </c>
      <c r="P45" s="22">
        <v>0.10920000000000001</v>
      </c>
      <c r="Q45" s="20">
        <v>687</v>
      </c>
      <c r="R45" s="23">
        <v>73878.570000000007</v>
      </c>
      <c r="S45" s="20">
        <v>11.73</v>
      </c>
      <c r="T45" s="20">
        <v>107.54</v>
      </c>
      <c r="U45" s="23">
        <v>114962.44</v>
      </c>
      <c r="V45" s="22">
        <v>0.55610000000000004</v>
      </c>
      <c r="W45" s="22">
        <v>6.2E-2</v>
      </c>
      <c r="X45" s="20" t="s">
        <v>76</v>
      </c>
    </row>
    <row r="46" spans="1:24" x14ac:dyDescent="0.25">
      <c r="A46" s="20" t="s">
        <v>149</v>
      </c>
      <c r="B46" s="21">
        <v>45959</v>
      </c>
      <c r="C46" s="20" t="s">
        <v>105</v>
      </c>
      <c r="D46" s="20" t="s">
        <v>46</v>
      </c>
      <c r="E46" s="20" t="s">
        <v>47</v>
      </c>
      <c r="F46" s="20" t="s">
        <v>125</v>
      </c>
      <c r="G46" s="20" t="s">
        <v>56</v>
      </c>
      <c r="H46" s="20" t="s">
        <v>87</v>
      </c>
      <c r="I46" s="20" t="s">
        <v>72</v>
      </c>
      <c r="J46" s="20" t="s">
        <v>121</v>
      </c>
      <c r="K46" s="20" t="s">
        <v>74</v>
      </c>
      <c r="L46" s="20" t="s">
        <v>75</v>
      </c>
      <c r="M46" s="20">
        <v>32062</v>
      </c>
      <c r="N46" s="20">
        <v>2167</v>
      </c>
      <c r="O46" s="27">
        <v>6.76</v>
      </c>
      <c r="P46" s="22">
        <v>4.1399999999999999E-2</v>
      </c>
      <c r="Q46" s="20">
        <v>89</v>
      </c>
      <c r="R46" s="23">
        <v>234026.29</v>
      </c>
      <c r="S46" s="20">
        <v>108</v>
      </c>
      <c r="T46" s="20">
        <v>2629.51</v>
      </c>
      <c r="U46" s="23">
        <v>298009.08</v>
      </c>
      <c r="V46" s="22">
        <v>0.27339999999999998</v>
      </c>
      <c r="W46" s="22">
        <v>4.3499999999999997E-2</v>
      </c>
      <c r="X46" s="20" t="s">
        <v>51</v>
      </c>
    </row>
    <row r="47" spans="1:24" x14ac:dyDescent="0.25">
      <c r="A47" s="20" t="s">
        <v>150</v>
      </c>
      <c r="B47" s="21">
        <v>45755</v>
      </c>
      <c r="C47" s="20" t="s">
        <v>53</v>
      </c>
      <c r="D47" s="20" t="s">
        <v>54</v>
      </c>
      <c r="E47" s="20" t="s">
        <v>38</v>
      </c>
      <c r="F47" s="20" t="s">
        <v>114</v>
      </c>
      <c r="G47" s="20" t="s">
        <v>29</v>
      </c>
      <c r="H47" s="20" t="s">
        <v>64</v>
      </c>
      <c r="I47" s="20" t="s">
        <v>49</v>
      </c>
      <c r="J47" s="20" t="s">
        <v>96</v>
      </c>
      <c r="K47" s="20" t="s">
        <v>97</v>
      </c>
      <c r="L47" s="20" t="s">
        <v>43</v>
      </c>
      <c r="M47" s="20">
        <v>111658</v>
      </c>
      <c r="N47" s="20">
        <v>6587</v>
      </c>
      <c r="O47" s="27">
        <v>5.9</v>
      </c>
      <c r="P47" s="22">
        <v>1.54E-2</v>
      </c>
      <c r="Q47" s="20">
        <v>101</v>
      </c>
      <c r="R47" s="23">
        <v>183623.41</v>
      </c>
      <c r="S47" s="20">
        <v>27.88</v>
      </c>
      <c r="T47" s="20">
        <v>1818.05</v>
      </c>
      <c r="U47" s="23">
        <v>318953.86</v>
      </c>
      <c r="V47" s="22">
        <v>0.73699999999999999</v>
      </c>
      <c r="W47" s="22">
        <v>0.11409999999999999</v>
      </c>
      <c r="X47" s="20" t="s">
        <v>51</v>
      </c>
    </row>
    <row r="48" spans="1:24" x14ac:dyDescent="0.25">
      <c r="A48" s="20" t="s">
        <v>151</v>
      </c>
      <c r="B48" s="21">
        <v>45804</v>
      </c>
      <c r="C48" s="20" t="s">
        <v>95</v>
      </c>
      <c r="D48" s="20" t="s">
        <v>79</v>
      </c>
      <c r="E48" s="20" t="s">
        <v>62</v>
      </c>
      <c r="F48" s="20" t="s">
        <v>152</v>
      </c>
      <c r="G48" s="20" t="s">
        <v>40</v>
      </c>
      <c r="H48" s="20" t="s">
        <v>71</v>
      </c>
      <c r="I48" s="20" t="s">
        <v>72</v>
      </c>
      <c r="J48" s="20" t="s">
        <v>73</v>
      </c>
      <c r="K48" s="20" t="s">
        <v>74</v>
      </c>
      <c r="L48" s="20" t="s">
        <v>75</v>
      </c>
      <c r="M48" s="20">
        <v>185178</v>
      </c>
      <c r="N48" s="20">
        <v>4833</v>
      </c>
      <c r="O48" s="27">
        <v>2.61</v>
      </c>
      <c r="P48" s="22">
        <v>3.8100000000000002E-2</v>
      </c>
      <c r="Q48" s="20">
        <v>184</v>
      </c>
      <c r="R48" s="23">
        <v>185208.83</v>
      </c>
      <c r="S48" s="20">
        <v>38.32</v>
      </c>
      <c r="T48" s="20">
        <v>1006.57</v>
      </c>
      <c r="U48" s="23">
        <v>407737.24</v>
      </c>
      <c r="V48" s="22">
        <v>1.2015</v>
      </c>
      <c r="W48" s="22">
        <v>6.3899999999999998E-2</v>
      </c>
      <c r="X48" s="20" t="s">
        <v>35</v>
      </c>
    </row>
    <row r="49" spans="1:24" x14ac:dyDescent="0.25">
      <c r="A49" s="20" t="s">
        <v>153</v>
      </c>
      <c r="B49" s="21">
        <v>45905</v>
      </c>
      <c r="C49" s="20" t="s">
        <v>99</v>
      </c>
      <c r="D49" s="20" t="s">
        <v>46</v>
      </c>
      <c r="E49" s="20" t="s">
        <v>66</v>
      </c>
      <c r="F49" s="20" t="s">
        <v>67</v>
      </c>
      <c r="G49" s="20" t="s">
        <v>29</v>
      </c>
      <c r="H49" s="20" t="s">
        <v>71</v>
      </c>
      <c r="I49" s="20" t="s">
        <v>49</v>
      </c>
      <c r="J49" s="20" t="s">
        <v>88</v>
      </c>
      <c r="K49" s="20" t="s">
        <v>89</v>
      </c>
      <c r="L49" s="20" t="s">
        <v>34</v>
      </c>
      <c r="M49" s="20">
        <v>44411</v>
      </c>
      <c r="N49" s="20">
        <v>914</v>
      </c>
      <c r="O49" s="27">
        <v>2.06</v>
      </c>
      <c r="P49" s="22">
        <v>0.10970000000000001</v>
      </c>
      <c r="Q49" s="20">
        <v>100</v>
      </c>
      <c r="R49" s="23">
        <v>125274.79</v>
      </c>
      <c r="S49" s="20">
        <v>137.06</v>
      </c>
      <c r="T49" s="20">
        <v>1252.75</v>
      </c>
      <c r="U49" s="23">
        <v>151093.92000000001</v>
      </c>
      <c r="V49" s="22">
        <v>0.20610000000000001</v>
      </c>
      <c r="W49" s="22">
        <v>0.13639999999999999</v>
      </c>
      <c r="X49" s="20" t="s">
        <v>76</v>
      </c>
    </row>
    <row r="50" spans="1:24" x14ac:dyDescent="0.25">
      <c r="A50" s="20" t="s">
        <v>154</v>
      </c>
      <c r="B50" s="21">
        <v>45888</v>
      </c>
      <c r="C50" s="20" t="s">
        <v>70</v>
      </c>
      <c r="D50" s="20" t="s">
        <v>54</v>
      </c>
      <c r="E50" s="20" t="s">
        <v>80</v>
      </c>
      <c r="F50" s="20" t="s">
        <v>81</v>
      </c>
      <c r="G50" s="20" t="s">
        <v>40</v>
      </c>
      <c r="H50" s="20" t="s">
        <v>87</v>
      </c>
      <c r="I50" s="20" t="s">
        <v>31</v>
      </c>
      <c r="J50" s="20" t="s">
        <v>32</v>
      </c>
      <c r="K50" s="20" t="s">
        <v>33</v>
      </c>
      <c r="L50" s="20" t="s">
        <v>34</v>
      </c>
      <c r="M50" s="20">
        <v>296438</v>
      </c>
      <c r="N50" s="20">
        <v>3497</v>
      </c>
      <c r="O50" s="27">
        <v>1.18</v>
      </c>
      <c r="P50" s="22">
        <v>3.6299999999999999E-2</v>
      </c>
      <c r="Q50" s="20">
        <v>126</v>
      </c>
      <c r="R50" s="23">
        <v>66072.679999999993</v>
      </c>
      <c r="S50" s="20">
        <v>18.89</v>
      </c>
      <c r="T50" s="20">
        <v>524.39</v>
      </c>
      <c r="U50" s="23">
        <v>132812.69</v>
      </c>
      <c r="V50" s="22">
        <v>1.0101</v>
      </c>
      <c r="W50" s="22">
        <v>0.13370000000000001</v>
      </c>
      <c r="X50" s="20" t="s">
        <v>51</v>
      </c>
    </row>
    <row r="51" spans="1:24" x14ac:dyDescent="0.25">
      <c r="A51" s="20" t="s">
        <v>155</v>
      </c>
      <c r="B51" s="21">
        <v>45869</v>
      </c>
      <c r="C51" s="20" t="s">
        <v>70</v>
      </c>
      <c r="D51" s="20" t="s">
        <v>54</v>
      </c>
      <c r="E51" s="20" t="s">
        <v>27</v>
      </c>
      <c r="F51" s="20" t="s">
        <v>28</v>
      </c>
      <c r="G51" s="20" t="s">
        <v>83</v>
      </c>
      <c r="H51" s="20" t="s">
        <v>57</v>
      </c>
      <c r="I51" s="20" t="s">
        <v>72</v>
      </c>
      <c r="J51" s="20" t="s">
        <v>58</v>
      </c>
      <c r="K51" s="20" t="s">
        <v>59</v>
      </c>
      <c r="L51" s="20" t="s">
        <v>60</v>
      </c>
      <c r="M51" s="20">
        <v>37537</v>
      </c>
      <c r="N51" s="20">
        <v>1591</v>
      </c>
      <c r="O51" s="27">
        <v>4.24</v>
      </c>
      <c r="P51" s="22">
        <v>7.3200000000000001E-2</v>
      </c>
      <c r="Q51" s="20">
        <v>116</v>
      </c>
      <c r="R51" s="23">
        <v>91316.02</v>
      </c>
      <c r="S51" s="20">
        <v>57.4</v>
      </c>
      <c r="T51" s="20">
        <v>787.21</v>
      </c>
      <c r="U51" s="23">
        <v>208154.87</v>
      </c>
      <c r="V51" s="22">
        <v>1.2795000000000001</v>
      </c>
      <c r="W51" s="22">
        <v>8.1699999999999995E-2</v>
      </c>
      <c r="X51" s="20" t="s">
        <v>51</v>
      </c>
    </row>
    <row r="52" spans="1:24" x14ac:dyDescent="0.25">
      <c r="A52" s="20" t="s">
        <v>156</v>
      </c>
      <c r="B52" s="21">
        <v>45768</v>
      </c>
      <c r="C52" s="20" t="s">
        <v>105</v>
      </c>
      <c r="D52" s="20" t="s">
        <v>46</v>
      </c>
      <c r="E52" s="20" t="s">
        <v>47</v>
      </c>
      <c r="F52" s="20" t="s">
        <v>48</v>
      </c>
      <c r="G52" s="20" t="s">
        <v>83</v>
      </c>
      <c r="H52" s="20" t="s">
        <v>64</v>
      </c>
      <c r="I52" s="20" t="s">
        <v>49</v>
      </c>
      <c r="J52" s="20" t="s">
        <v>102</v>
      </c>
      <c r="K52" s="20" t="s">
        <v>103</v>
      </c>
      <c r="L52" s="20" t="s">
        <v>75</v>
      </c>
      <c r="M52" s="20">
        <v>231406</v>
      </c>
      <c r="N52" s="20">
        <v>17702</v>
      </c>
      <c r="O52" s="27">
        <v>7.65</v>
      </c>
      <c r="P52" s="22">
        <v>0.10340000000000001</v>
      </c>
      <c r="Q52" s="20">
        <v>1830</v>
      </c>
      <c r="R52" s="23">
        <v>218476.96</v>
      </c>
      <c r="S52" s="20">
        <v>12.34</v>
      </c>
      <c r="T52" s="20">
        <v>119.39</v>
      </c>
      <c r="U52" s="23">
        <v>163901.42000000001</v>
      </c>
      <c r="V52" s="22">
        <v>-0.24979999999999999</v>
      </c>
      <c r="W52" s="22">
        <v>9.7000000000000003E-3</v>
      </c>
      <c r="X52" s="20" t="s">
        <v>51</v>
      </c>
    </row>
    <row r="53" spans="1:24" x14ac:dyDescent="0.25">
      <c r="A53" s="20" t="s">
        <v>157</v>
      </c>
      <c r="B53" s="21">
        <v>45900</v>
      </c>
      <c r="C53" s="20" t="s">
        <v>45</v>
      </c>
      <c r="D53" s="20" t="s">
        <v>46</v>
      </c>
      <c r="E53" s="20" t="s">
        <v>27</v>
      </c>
      <c r="F53" s="20" t="s">
        <v>28</v>
      </c>
      <c r="G53" s="20" t="s">
        <v>29</v>
      </c>
      <c r="H53" s="20" t="s">
        <v>64</v>
      </c>
      <c r="I53" s="20" t="s">
        <v>49</v>
      </c>
      <c r="J53" s="20" t="s">
        <v>92</v>
      </c>
      <c r="K53" s="20" t="s">
        <v>93</v>
      </c>
      <c r="L53" s="20" t="s">
        <v>34</v>
      </c>
      <c r="M53" s="20">
        <v>250446</v>
      </c>
      <c r="N53" s="20">
        <v>19509</v>
      </c>
      <c r="O53" s="27">
        <v>7.79</v>
      </c>
      <c r="P53" s="22">
        <v>3.73E-2</v>
      </c>
      <c r="Q53" s="20">
        <v>727</v>
      </c>
      <c r="R53" s="23">
        <v>29043.41</v>
      </c>
      <c r="S53" s="20">
        <v>1.49</v>
      </c>
      <c r="T53" s="20">
        <v>39.950000000000003</v>
      </c>
      <c r="U53" s="23">
        <v>30643.7</v>
      </c>
      <c r="V53" s="22">
        <v>5.5100000000000003E-2</v>
      </c>
      <c r="W53" s="22">
        <v>8.0699999999999994E-2</v>
      </c>
      <c r="X53" s="20" t="s">
        <v>51</v>
      </c>
    </row>
    <row r="54" spans="1:24" x14ac:dyDescent="0.25">
      <c r="A54" s="20" t="s">
        <v>158</v>
      </c>
      <c r="B54" s="21">
        <v>45892</v>
      </c>
      <c r="C54" s="20" t="s">
        <v>105</v>
      </c>
      <c r="D54" s="20" t="s">
        <v>46</v>
      </c>
      <c r="E54" s="20" t="s">
        <v>85</v>
      </c>
      <c r="F54" s="20" t="s">
        <v>86</v>
      </c>
      <c r="G54" s="20" t="s">
        <v>29</v>
      </c>
      <c r="H54" s="20" t="s">
        <v>71</v>
      </c>
      <c r="I54" s="20" t="s">
        <v>31</v>
      </c>
      <c r="J54" s="20" t="s">
        <v>41</v>
      </c>
      <c r="K54" s="20" t="s">
        <v>42</v>
      </c>
      <c r="L54" s="20" t="s">
        <v>43</v>
      </c>
      <c r="M54" s="20">
        <v>487303</v>
      </c>
      <c r="N54" s="20">
        <v>3800</v>
      </c>
      <c r="O54" s="27">
        <v>0.78</v>
      </c>
      <c r="P54" s="22">
        <v>8.8700000000000001E-2</v>
      </c>
      <c r="Q54" s="20">
        <v>337</v>
      </c>
      <c r="R54" s="23">
        <v>240683.85</v>
      </c>
      <c r="S54" s="20">
        <v>63.34</v>
      </c>
      <c r="T54" s="20">
        <v>714.2</v>
      </c>
      <c r="U54" s="23">
        <v>515280.05</v>
      </c>
      <c r="V54" s="22">
        <v>1.1409</v>
      </c>
      <c r="W54" s="22">
        <v>8.1600000000000006E-2</v>
      </c>
      <c r="X54" s="20" t="s">
        <v>51</v>
      </c>
    </row>
    <row r="55" spans="1:24" x14ac:dyDescent="0.25">
      <c r="A55" s="20" t="s">
        <v>159</v>
      </c>
      <c r="B55" s="21">
        <v>45715</v>
      </c>
      <c r="C55" s="20" t="s">
        <v>105</v>
      </c>
      <c r="D55" s="20" t="s">
        <v>46</v>
      </c>
      <c r="E55" s="20" t="s">
        <v>62</v>
      </c>
      <c r="F55" s="20" t="s">
        <v>117</v>
      </c>
      <c r="G55" s="20" t="s">
        <v>63</v>
      </c>
      <c r="H55" s="20" t="s">
        <v>30</v>
      </c>
      <c r="I55" s="20" t="s">
        <v>31</v>
      </c>
      <c r="J55" s="20" t="s">
        <v>73</v>
      </c>
      <c r="K55" s="20" t="s">
        <v>74</v>
      </c>
      <c r="L55" s="20" t="s">
        <v>75</v>
      </c>
      <c r="M55" s="20">
        <v>141777</v>
      </c>
      <c r="N55" s="20">
        <v>3090</v>
      </c>
      <c r="O55" s="27">
        <v>2.1800000000000002</v>
      </c>
      <c r="P55" s="22">
        <v>7.6100000000000001E-2</v>
      </c>
      <c r="Q55" s="20">
        <v>235</v>
      </c>
      <c r="R55" s="23">
        <v>4594.49</v>
      </c>
      <c r="S55" s="20">
        <v>1.49</v>
      </c>
      <c r="T55" s="20">
        <v>19.55</v>
      </c>
      <c r="U55" s="23">
        <v>6402.42</v>
      </c>
      <c r="V55" s="22">
        <v>0.39350000000000002</v>
      </c>
      <c r="W55" s="22">
        <v>7.1800000000000003E-2</v>
      </c>
      <c r="X55" s="20" t="s">
        <v>76</v>
      </c>
    </row>
    <row r="56" spans="1:24" x14ac:dyDescent="0.25">
      <c r="A56" s="20" t="s">
        <v>160</v>
      </c>
      <c r="B56" s="21">
        <v>45782</v>
      </c>
      <c r="C56" s="20" t="s">
        <v>95</v>
      </c>
      <c r="D56" s="20" t="s">
        <v>79</v>
      </c>
      <c r="E56" s="20" t="s">
        <v>85</v>
      </c>
      <c r="F56" s="20" t="s">
        <v>86</v>
      </c>
      <c r="G56" s="20" t="s">
        <v>63</v>
      </c>
      <c r="H56" s="20" t="s">
        <v>71</v>
      </c>
      <c r="I56" s="20" t="s">
        <v>31</v>
      </c>
      <c r="J56" s="20" t="s">
        <v>73</v>
      </c>
      <c r="K56" s="20" t="s">
        <v>74</v>
      </c>
      <c r="L56" s="20" t="s">
        <v>75</v>
      </c>
      <c r="M56" s="20">
        <v>374441</v>
      </c>
      <c r="N56" s="20">
        <v>20107</v>
      </c>
      <c r="O56" s="27">
        <v>5.37</v>
      </c>
      <c r="P56" s="22">
        <v>1.61E-2</v>
      </c>
      <c r="Q56" s="20">
        <v>323</v>
      </c>
      <c r="R56" s="23">
        <v>50140.58</v>
      </c>
      <c r="S56" s="20">
        <v>2.4900000000000002</v>
      </c>
      <c r="T56" s="20">
        <v>155.22999999999999</v>
      </c>
      <c r="U56" s="23">
        <v>137144.51</v>
      </c>
      <c r="V56" s="22">
        <v>1.7352000000000001</v>
      </c>
      <c r="W56" s="22">
        <v>9.8799999999999999E-2</v>
      </c>
      <c r="X56" s="20" t="s">
        <v>35</v>
      </c>
    </row>
    <row r="57" spans="1:24" x14ac:dyDescent="0.25">
      <c r="A57" s="20" t="s">
        <v>161</v>
      </c>
      <c r="B57" s="21">
        <v>45774</v>
      </c>
      <c r="C57" s="20" t="s">
        <v>70</v>
      </c>
      <c r="D57" s="20" t="s">
        <v>54</v>
      </c>
      <c r="E57" s="20" t="s">
        <v>47</v>
      </c>
      <c r="F57" s="20" t="s">
        <v>48</v>
      </c>
      <c r="G57" s="20" t="s">
        <v>83</v>
      </c>
      <c r="H57" s="20" t="s">
        <v>87</v>
      </c>
      <c r="I57" s="20" t="s">
        <v>49</v>
      </c>
      <c r="J57" s="20" t="s">
        <v>32</v>
      </c>
      <c r="K57" s="20" t="s">
        <v>33</v>
      </c>
      <c r="L57" s="20" t="s">
        <v>34</v>
      </c>
      <c r="M57" s="20">
        <v>381612</v>
      </c>
      <c r="N57" s="20">
        <v>13928</v>
      </c>
      <c r="O57" s="27">
        <v>3.65</v>
      </c>
      <c r="P57" s="22">
        <v>8.5099999999999995E-2</v>
      </c>
      <c r="Q57" s="20">
        <v>1185</v>
      </c>
      <c r="R57" s="23">
        <v>51123.75</v>
      </c>
      <c r="S57" s="20">
        <v>3.67</v>
      </c>
      <c r="T57" s="20">
        <v>43.14</v>
      </c>
      <c r="U57" s="23">
        <v>129506.68</v>
      </c>
      <c r="V57" s="22">
        <v>1.5331999999999999</v>
      </c>
      <c r="W57" s="22">
        <v>0.11219999999999999</v>
      </c>
      <c r="X57" s="20" t="s">
        <v>51</v>
      </c>
    </row>
    <row r="58" spans="1:24" x14ac:dyDescent="0.25">
      <c r="A58" s="20" t="s">
        <v>162</v>
      </c>
      <c r="B58" s="21">
        <v>45763</v>
      </c>
      <c r="C58" s="20" t="s">
        <v>95</v>
      </c>
      <c r="D58" s="20" t="s">
        <v>79</v>
      </c>
      <c r="E58" s="20" t="s">
        <v>80</v>
      </c>
      <c r="F58" s="20" t="s">
        <v>123</v>
      </c>
      <c r="G58" s="20" t="s">
        <v>40</v>
      </c>
      <c r="H58" s="20" t="s">
        <v>71</v>
      </c>
      <c r="I58" s="20" t="s">
        <v>72</v>
      </c>
      <c r="J58" s="20" t="s">
        <v>134</v>
      </c>
      <c r="K58" s="20" t="s">
        <v>135</v>
      </c>
      <c r="L58" s="20" t="s">
        <v>34</v>
      </c>
      <c r="M58" s="20">
        <v>143947</v>
      </c>
      <c r="N58" s="20">
        <v>8924</v>
      </c>
      <c r="O58" s="27">
        <v>6.2</v>
      </c>
      <c r="P58" s="22">
        <v>4.24E-2</v>
      </c>
      <c r="Q58" s="20">
        <v>378</v>
      </c>
      <c r="R58" s="23">
        <v>238077.87</v>
      </c>
      <c r="S58" s="20">
        <v>26.68</v>
      </c>
      <c r="T58" s="20">
        <v>629.84</v>
      </c>
      <c r="U58" s="23">
        <v>438134.7</v>
      </c>
      <c r="V58" s="22">
        <v>0.84030000000000005</v>
      </c>
      <c r="W58" s="22">
        <v>3.2199999999999999E-2</v>
      </c>
      <c r="X58" s="20" t="s">
        <v>35</v>
      </c>
    </row>
    <row r="59" spans="1:24" x14ac:dyDescent="0.25">
      <c r="A59" s="20" t="s">
        <v>163</v>
      </c>
      <c r="B59" s="21">
        <v>45871</v>
      </c>
      <c r="C59" s="20" t="s">
        <v>37</v>
      </c>
      <c r="D59" s="20" t="s">
        <v>26</v>
      </c>
      <c r="E59" s="20" t="s">
        <v>85</v>
      </c>
      <c r="F59" s="20" t="s">
        <v>86</v>
      </c>
      <c r="G59" s="20" t="s">
        <v>83</v>
      </c>
      <c r="H59" s="20" t="s">
        <v>87</v>
      </c>
      <c r="I59" s="20" t="s">
        <v>31</v>
      </c>
      <c r="J59" s="20" t="s">
        <v>130</v>
      </c>
      <c r="K59" s="20" t="s">
        <v>130</v>
      </c>
      <c r="L59" s="20" t="s">
        <v>43</v>
      </c>
      <c r="M59" s="20">
        <v>317542</v>
      </c>
      <c r="N59" s="20">
        <v>4953</v>
      </c>
      <c r="O59" s="27">
        <v>1.56</v>
      </c>
      <c r="P59" s="22">
        <v>1.5699999999999999E-2</v>
      </c>
      <c r="Q59" s="20">
        <v>77</v>
      </c>
      <c r="R59" s="23">
        <v>16913.54</v>
      </c>
      <c r="S59" s="20">
        <v>3.41</v>
      </c>
      <c r="T59" s="20">
        <v>219.66</v>
      </c>
      <c r="U59" s="23">
        <v>27139.47</v>
      </c>
      <c r="V59" s="22">
        <v>0.60460000000000003</v>
      </c>
      <c r="W59" s="22">
        <v>0.13519999999999999</v>
      </c>
      <c r="X59" s="20" t="s">
        <v>51</v>
      </c>
    </row>
    <row r="60" spans="1:24" x14ac:dyDescent="0.25">
      <c r="A60" s="20" t="s">
        <v>164</v>
      </c>
      <c r="B60" s="21">
        <v>45715</v>
      </c>
      <c r="C60" s="20" t="s">
        <v>105</v>
      </c>
      <c r="D60" s="20" t="s">
        <v>46</v>
      </c>
      <c r="E60" s="20" t="s">
        <v>80</v>
      </c>
      <c r="F60" s="20" t="s">
        <v>123</v>
      </c>
      <c r="G60" s="20" t="s">
        <v>40</v>
      </c>
      <c r="H60" s="20" t="s">
        <v>71</v>
      </c>
      <c r="I60" s="20" t="s">
        <v>49</v>
      </c>
      <c r="J60" s="20" t="s">
        <v>106</v>
      </c>
      <c r="K60" s="20" t="s">
        <v>107</v>
      </c>
      <c r="L60" s="20" t="s">
        <v>60</v>
      </c>
      <c r="M60" s="20">
        <v>280145</v>
      </c>
      <c r="N60" s="20">
        <v>17088</v>
      </c>
      <c r="O60" s="27">
        <v>6.1</v>
      </c>
      <c r="P60" s="22">
        <v>1.35E-2</v>
      </c>
      <c r="Q60" s="20">
        <v>230</v>
      </c>
      <c r="R60" s="23">
        <v>166778.60999999999</v>
      </c>
      <c r="S60" s="20">
        <v>9.76</v>
      </c>
      <c r="T60" s="20">
        <v>725.12</v>
      </c>
      <c r="U60" s="23">
        <v>261975.84</v>
      </c>
      <c r="V60" s="22">
        <v>0.57079999999999997</v>
      </c>
      <c r="W60" s="22">
        <v>5.9200000000000003E-2</v>
      </c>
      <c r="X60" s="20" t="s">
        <v>51</v>
      </c>
    </row>
    <row r="61" spans="1:24" x14ac:dyDescent="0.25">
      <c r="A61" s="20" t="s">
        <v>165</v>
      </c>
      <c r="B61" s="21">
        <v>45744</v>
      </c>
      <c r="C61" s="20" t="s">
        <v>105</v>
      </c>
      <c r="D61" s="20" t="s">
        <v>46</v>
      </c>
      <c r="E61" s="20" t="s">
        <v>62</v>
      </c>
      <c r="F61" s="20" t="s">
        <v>28</v>
      </c>
      <c r="G61" s="20" t="s">
        <v>56</v>
      </c>
      <c r="H61" s="20" t="s">
        <v>87</v>
      </c>
      <c r="I61" s="20" t="s">
        <v>72</v>
      </c>
      <c r="J61" s="20" t="s">
        <v>73</v>
      </c>
      <c r="K61" s="20" t="s">
        <v>74</v>
      </c>
      <c r="L61" s="20" t="s">
        <v>75</v>
      </c>
      <c r="M61" s="20">
        <v>469085</v>
      </c>
      <c r="N61" s="20">
        <v>6707</v>
      </c>
      <c r="O61" s="27">
        <v>1.43</v>
      </c>
      <c r="P61" s="22">
        <v>0.11609999999999999</v>
      </c>
      <c r="Q61" s="20">
        <v>778</v>
      </c>
      <c r="R61" s="23">
        <v>53435.8</v>
      </c>
      <c r="S61" s="20">
        <v>7.97</v>
      </c>
      <c r="T61" s="20">
        <v>68.680000000000007</v>
      </c>
      <c r="U61" s="23">
        <v>81233.100000000006</v>
      </c>
      <c r="V61" s="22">
        <v>0.5202</v>
      </c>
      <c r="W61" s="22">
        <v>0.1241</v>
      </c>
      <c r="X61" s="20" t="s">
        <v>51</v>
      </c>
    </row>
    <row r="62" spans="1:24" x14ac:dyDescent="0.25">
      <c r="A62" s="20" t="s">
        <v>166</v>
      </c>
      <c r="B62" s="21">
        <v>45879</v>
      </c>
      <c r="C62" s="20" t="s">
        <v>105</v>
      </c>
      <c r="D62" s="20" t="s">
        <v>46</v>
      </c>
      <c r="E62" s="20" t="s">
        <v>62</v>
      </c>
      <c r="F62" s="20" t="s">
        <v>152</v>
      </c>
      <c r="G62" s="20" t="s">
        <v>83</v>
      </c>
      <c r="H62" s="20" t="s">
        <v>71</v>
      </c>
      <c r="I62" s="20" t="s">
        <v>72</v>
      </c>
      <c r="J62" s="20" t="s">
        <v>96</v>
      </c>
      <c r="K62" s="20" t="s">
        <v>97</v>
      </c>
      <c r="L62" s="20" t="s">
        <v>43</v>
      </c>
      <c r="M62" s="20">
        <v>487086</v>
      </c>
      <c r="N62" s="20">
        <v>18752</v>
      </c>
      <c r="O62" s="27">
        <v>3.85</v>
      </c>
      <c r="P62" s="22">
        <v>4.5600000000000002E-2</v>
      </c>
      <c r="Q62" s="20">
        <v>855</v>
      </c>
      <c r="R62" s="23">
        <v>184855.31</v>
      </c>
      <c r="S62" s="20">
        <v>9.86</v>
      </c>
      <c r="T62" s="20">
        <v>216.21</v>
      </c>
      <c r="U62" s="23">
        <v>331149.8</v>
      </c>
      <c r="V62" s="22">
        <v>0.79139999999999999</v>
      </c>
      <c r="W62" s="22">
        <v>9.6600000000000005E-2</v>
      </c>
      <c r="X62" s="20" t="s">
        <v>35</v>
      </c>
    </row>
    <row r="63" spans="1:24" x14ac:dyDescent="0.25">
      <c r="A63" s="20" t="s">
        <v>167</v>
      </c>
      <c r="B63" s="21">
        <v>45865</v>
      </c>
      <c r="C63" s="20" t="s">
        <v>37</v>
      </c>
      <c r="D63" s="20" t="s">
        <v>26</v>
      </c>
      <c r="E63" s="20" t="s">
        <v>27</v>
      </c>
      <c r="F63" s="20" t="s">
        <v>28</v>
      </c>
      <c r="G63" s="20" t="s">
        <v>83</v>
      </c>
      <c r="H63" s="20" t="s">
        <v>87</v>
      </c>
      <c r="I63" s="20" t="s">
        <v>31</v>
      </c>
      <c r="J63" s="20" t="s">
        <v>127</v>
      </c>
      <c r="K63" s="20" t="s">
        <v>128</v>
      </c>
      <c r="L63" s="20" t="s">
        <v>60</v>
      </c>
      <c r="M63" s="20">
        <v>107205</v>
      </c>
      <c r="N63" s="20">
        <v>6539</v>
      </c>
      <c r="O63" s="27">
        <v>6.1</v>
      </c>
      <c r="P63" s="22">
        <v>0.10879999999999999</v>
      </c>
      <c r="Q63" s="20">
        <v>711</v>
      </c>
      <c r="R63" s="23">
        <v>86089.24</v>
      </c>
      <c r="S63" s="20">
        <v>13.17</v>
      </c>
      <c r="T63" s="20">
        <v>121.08</v>
      </c>
      <c r="U63" s="23">
        <v>114180.16</v>
      </c>
      <c r="V63" s="22">
        <v>0.32629999999999998</v>
      </c>
      <c r="W63" s="22">
        <v>0.1439</v>
      </c>
      <c r="X63" s="20" t="s">
        <v>51</v>
      </c>
    </row>
    <row r="64" spans="1:24" x14ac:dyDescent="0.25">
      <c r="A64" s="20" t="s">
        <v>168</v>
      </c>
      <c r="B64" s="21">
        <v>45792</v>
      </c>
      <c r="C64" s="20" t="s">
        <v>53</v>
      </c>
      <c r="D64" s="20" t="s">
        <v>54</v>
      </c>
      <c r="E64" s="20" t="s">
        <v>47</v>
      </c>
      <c r="F64" s="20" t="s">
        <v>125</v>
      </c>
      <c r="G64" s="20" t="s">
        <v>29</v>
      </c>
      <c r="H64" s="20" t="s">
        <v>30</v>
      </c>
      <c r="I64" s="20" t="s">
        <v>49</v>
      </c>
      <c r="J64" s="20" t="s">
        <v>121</v>
      </c>
      <c r="K64" s="20" t="s">
        <v>74</v>
      </c>
      <c r="L64" s="20" t="s">
        <v>75</v>
      </c>
      <c r="M64" s="20">
        <v>17717</v>
      </c>
      <c r="N64" s="20">
        <v>1187</v>
      </c>
      <c r="O64" s="27">
        <v>6.7</v>
      </c>
      <c r="P64" s="22">
        <v>2.18E-2</v>
      </c>
      <c r="Q64" s="20">
        <v>25</v>
      </c>
      <c r="R64" s="23">
        <v>179461.65</v>
      </c>
      <c r="S64" s="20">
        <v>151.19</v>
      </c>
      <c r="T64" s="20">
        <v>7178.47</v>
      </c>
      <c r="U64" s="23">
        <v>317862.46999999997</v>
      </c>
      <c r="V64" s="22">
        <v>0.7712</v>
      </c>
      <c r="W64" s="22">
        <v>0.1176</v>
      </c>
      <c r="X64" s="20" t="s">
        <v>51</v>
      </c>
    </row>
    <row r="65" spans="1:24" x14ac:dyDescent="0.25">
      <c r="A65" s="20" t="s">
        <v>169</v>
      </c>
      <c r="B65" s="21">
        <v>45878</v>
      </c>
      <c r="C65" s="20" t="s">
        <v>95</v>
      </c>
      <c r="D65" s="20" t="s">
        <v>79</v>
      </c>
      <c r="E65" s="20" t="s">
        <v>80</v>
      </c>
      <c r="F65" s="20" t="s">
        <v>123</v>
      </c>
      <c r="G65" s="20" t="s">
        <v>40</v>
      </c>
      <c r="H65" s="20" t="s">
        <v>87</v>
      </c>
      <c r="I65" s="20" t="s">
        <v>49</v>
      </c>
      <c r="J65" s="20" t="s">
        <v>127</v>
      </c>
      <c r="K65" s="20" t="s">
        <v>128</v>
      </c>
      <c r="L65" s="20" t="s">
        <v>60</v>
      </c>
      <c r="M65" s="20">
        <v>436360</v>
      </c>
      <c r="N65" s="20">
        <v>24828</v>
      </c>
      <c r="O65" s="27">
        <v>5.69</v>
      </c>
      <c r="P65" s="22">
        <v>2.6599999999999999E-2</v>
      </c>
      <c r="Q65" s="20">
        <v>660</v>
      </c>
      <c r="R65" s="23">
        <v>60563.34</v>
      </c>
      <c r="S65" s="20">
        <v>2.44</v>
      </c>
      <c r="T65" s="20">
        <v>91.76</v>
      </c>
      <c r="U65" s="23">
        <v>162364.26</v>
      </c>
      <c r="V65" s="22">
        <v>1.6809000000000001</v>
      </c>
      <c r="W65" s="22">
        <v>7.1800000000000003E-2</v>
      </c>
      <c r="X65" s="20" t="s">
        <v>51</v>
      </c>
    </row>
    <row r="66" spans="1:24" x14ac:dyDescent="0.25">
      <c r="A66" s="20" t="s">
        <v>170</v>
      </c>
      <c r="B66" s="21">
        <v>45698</v>
      </c>
      <c r="C66" s="20" t="s">
        <v>99</v>
      </c>
      <c r="D66" s="20" t="s">
        <v>46</v>
      </c>
      <c r="E66" s="20" t="s">
        <v>80</v>
      </c>
      <c r="F66" s="20" t="s">
        <v>123</v>
      </c>
      <c r="G66" s="20" t="s">
        <v>40</v>
      </c>
      <c r="H66" s="20" t="s">
        <v>71</v>
      </c>
      <c r="I66" s="20" t="s">
        <v>72</v>
      </c>
      <c r="J66" s="20" t="s">
        <v>121</v>
      </c>
      <c r="K66" s="20" t="s">
        <v>74</v>
      </c>
      <c r="L66" s="20" t="s">
        <v>75</v>
      </c>
      <c r="M66" s="20">
        <v>345549</v>
      </c>
      <c r="N66" s="20">
        <v>2591</v>
      </c>
      <c r="O66" s="27">
        <v>0.75</v>
      </c>
      <c r="P66" s="22">
        <v>7.0800000000000002E-2</v>
      </c>
      <c r="Q66" s="20">
        <v>183</v>
      </c>
      <c r="R66" s="23">
        <v>82788.070000000007</v>
      </c>
      <c r="S66" s="20">
        <v>31.95</v>
      </c>
      <c r="T66" s="20">
        <v>452.39</v>
      </c>
      <c r="U66" s="23">
        <v>244605.63</v>
      </c>
      <c r="V66" s="22">
        <v>1.9545999999999999</v>
      </c>
      <c r="W66" s="22">
        <v>0.1331</v>
      </c>
      <c r="X66" s="20" t="s">
        <v>76</v>
      </c>
    </row>
    <row r="67" spans="1:24" x14ac:dyDescent="0.25">
      <c r="A67" s="20" t="s">
        <v>171</v>
      </c>
      <c r="B67" s="21">
        <v>45793</v>
      </c>
      <c r="C67" s="20" t="s">
        <v>45</v>
      </c>
      <c r="D67" s="20" t="s">
        <v>46</v>
      </c>
      <c r="E67" s="20" t="s">
        <v>62</v>
      </c>
      <c r="F67" s="20" t="s">
        <v>28</v>
      </c>
      <c r="G67" s="20" t="s">
        <v>29</v>
      </c>
      <c r="H67" s="20" t="s">
        <v>64</v>
      </c>
      <c r="I67" s="20" t="s">
        <v>72</v>
      </c>
      <c r="J67" s="20" t="s">
        <v>110</v>
      </c>
      <c r="K67" s="20" t="s">
        <v>111</v>
      </c>
      <c r="L67" s="20" t="s">
        <v>112</v>
      </c>
      <c r="M67" s="20">
        <v>239337</v>
      </c>
      <c r="N67" s="20">
        <v>4308</v>
      </c>
      <c r="O67" s="27">
        <v>1.8</v>
      </c>
      <c r="P67" s="22">
        <v>2.46E-2</v>
      </c>
      <c r="Q67" s="20">
        <v>105</v>
      </c>
      <c r="R67" s="23">
        <v>116309.09</v>
      </c>
      <c r="S67" s="20">
        <v>27</v>
      </c>
      <c r="T67" s="20">
        <v>1107.71</v>
      </c>
      <c r="U67" s="23">
        <v>319838.37</v>
      </c>
      <c r="V67" s="22">
        <v>1.7499</v>
      </c>
      <c r="W67" s="22">
        <v>3.9100000000000003E-2</v>
      </c>
      <c r="X67" s="20" t="s">
        <v>51</v>
      </c>
    </row>
    <row r="68" spans="1:24" x14ac:dyDescent="0.25">
      <c r="A68" s="20" t="s">
        <v>172</v>
      </c>
      <c r="B68" s="21">
        <v>45720</v>
      </c>
      <c r="C68" s="20" t="s">
        <v>120</v>
      </c>
      <c r="D68" s="20" t="s">
        <v>79</v>
      </c>
      <c r="E68" s="20" t="s">
        <v>47</v>
      </c>
      <c r="F68" s="20" t="s">
        <v>125</v>
      </c>
      <c r="G68" s="20" t="s">
        <v>63</v>
      </c>
      <c r="H68" s="20" t="s">
        <v>57</v>
      </c>
      <c r="I68" s="20" t="s">
        <v>72</v>
      </c>
      <c r="J68" s="20" t="s">
        <v>127</v>
      </c>
      <c r="K68" s="20" t="s">
        <v>128</v>
      </c>
      <c r="L68" s="20" t="s">
        <v>60</v>
      </c>
      <c r="M68" s="20">
        <v>391959</v>
      </c>
      <c r="N68" s="20">
        <v>9602</v>
      </c>
      <c r="O68" s="27">
        <v>2.4500000000000002</v>
      </c>
      <c r="P68" s="22">
        <v>5.8299999999999998E-2</v>
      </c>
      <c r="Q68" s="20">
        <v>559</v>
      </c>
      <c r="R68" s="23">
        <v>48062.63</v>
      </c>
      <c r="S68" s="20">
        <v>5.01</v>
      </c>
      <c r="T68" s="20">
        <v>85.98</v>
      </c>
      <c r="U68" s="23">
        <v>59679.37</v>
      </c>
      <c r="V68" s="22">
        <v>0.2417</v>
      </c>
      <c r="W68" s="22">
        <v>4.58E-2</v>
      </c>
      <c r="X68" s="20" t="s">
        <v>76</v>
      </c>
    </row>
    <row r="69" spans="1:24" x14ac:dyDescent="0.25">
      <c r="A69" s="20" t="s">
        <v>173</v>
      </c>
      <c r="B69" s="21">
        <v>45754</v>
      </c>
      <c r="C69" s="20" t="s">
        <v>53</v>
      </c>
      <c r="D69" s="20" t="s">
        <v>54</v>
      </c>
      <c r="E69" s="20" t="s">
        <v>62</v>
      </c>
      <c r="F69" s="20" t="s">
        <v>117</v>
      </c>
      <c r="G69" s="20" t="s">
        <v>56</v>
      </c>
      <c r="H69" s="20" t="s">
        <v>71</v>
      </c>
      <c r="I69" s="20" t="s">
        <v>49</v>
      </c>
      <c r="J69" s="20" t="s">
        <v>96</v>
      </c>
      <c r="K69" s="20" t="s">
        <v>97</v>
      </c>
      <c r="L69" s="20" t="s">
        <v>43</v>
      </c>
      <c r="M69" s="20">
        <v>126310</v>
      </c>
      <c r="N69" s="20">
        <v>6782</v>
      </c>
      <c r="O69" s="27">
        <v>5.37</v>
      </c>
      <c r="P69" s="22">
        <v>2.1100000000000001E-2</v>
      </c>
      <c r="Q69" s="20">
        <v>143</v>
      </c>
      <c r="R69" s="23">
        <v>117051.09</v>
      </c>
      <c r="S69" s="20">
        <v>17.260000000000002</v>
      </c>
      <c r="T69" s="20">
        <v>818.54</v>
      </c>
      <c r="U69" s="23">
        <v>91908.52</v>
      </c>
      <c r="V69" s="22">
        <v>-0.21479999999999999</v>
      </c>
      <c r="W69" s="22">
        <v>5.7000000000000002E-3</v>
      </c>
      <c r="X69" s="20" t="s">
        <v>51</v>
      </c>
    </row>
    <row r="70" spans="1:24" x14ac:dyDescent="0.25">
      <c r="A70" s="20" t="s">
        <v>174</v>
      </c>
      <c r="B70" s="21">
        <v>45776</v>
      </c>
      <c r="C70" s="20" t="s">
        <v>95</v>
      </c>
      <c r="D70" s="20" t="s">
        <v>79</v>
      </c>
      <c r="E70" s="20" t="s">
        <v>47</v>
      </c>
      <c r="F70" s="20" t="s">
        <v>48</v>
      </c>
      <c r="G70" s="20" t="s">
        <v>56</v>
      </c>
      <c r="H70" s="20" t="s">
        <v>71</v>
      </c>
      <c r="I70" s="20" t="s">
        <v>31</v>
      </c>
      <c r="J70" s="20" t="s">
        <v>130</v>
      </c>
      <c r="K70" s="20" t="s">
        <v>130</v>
      </c>
      <c r="L70" s="20" t="s">
        <v>43</v>
      </c>
      <c r="M70" s="20">
        <v>104390</v>
      </c>
      <c r="N70" s="20">
        <v>5219</v>
      </c>
      <c r="O70" s="27">
        <v>5</v>
      </c>
      <c r="P70" s="22">
        <v>0.1011</v>
      </c>
      <c r="Q70" s="20">
        <v>527</v>
      </c>
      <c r="R70" s="23">
        <v>50152.08</v>
      </c>
      <c r="S70" s="20">
        <v>9.61</v>
      </c>
      <c r="T70" s="20">
        <v>95.17</v>
      </c>
      <c r="U70" s="23">
        <v>43772.74</v>
      </c>
      <c r="V70" s="22">
        <v>-0.12720000000000001</v>
      </c>
      <c r="W70" s="22">
        <v>7.9299999999999995E-2</v>
      </c>
      <c r="X70" s="20" t="s">
        <v>35</v>
      </c>
    </row>
    <row r="71" spans="1:24" x14ac:dyDescent="0.25">
      <c r="A71" s="20" t="s">
        <v>175</v>
      </c>
      <c r="B71" s="21">
        <v>45791</v>
      </c>
      <c r="C71" s="20" t="s">
        <v>37</v>
      </c>
      <c r="D71" s="20" t="s">
        <v>26</v>
      </c>
      <c r="E71" s="20" t="s">
        <v>62</v>
      </c>
      <c r="F71" s="20" t="s">
        <v>152</v>
      </c>
      <c r="G71" s="20" t="s">
        <v>63</v>
      </c>
      <c r="H71" s="20" t="s">
        <v>30</v>
      </c>
      <c r="I71" s="20" t="s">
        <v>72</v>
      </c>
      <c r="J71" s="20" t="s">
        <v>134</v>
      </c>
      <c r="K71" s="20" t="s">
        <v>135</v>
      </c>
      <c r="L71" s="20" t="s">
        <v>34</v>
      </c>
      <c r="M71" s="20">
        <v>24636</v>
      </c>
      <c r="N71" s="20">
        <v>805</v>
      </c>
      <c r="O71" s="27">
        <v>3.27</v>
      </c>
      <c r="P71" s="22">
        <v>2.5600000000000001E-2</v>
      </c>
      <c r="Q71" s="20">
        <v>20</v>
      </c>
      <c r="R71" s="23">
        <v>52586.16</v>
      </c>
      <c r="S71" s="20">
        <v>65.319999999999993</v>
      </c>
      <c r="T71" s="20">
        <v>2629.31</v>
      </c>
      <c r="U71" s="23">
        <v>67641.58</v>
      </c>
      <c r="V71" s="22">
        <v>0.2863</v>
      </c>
      <c r="W71" s="22">
        <v>9.1899999999999996E-2</v>
      </c>
      <c r="X71" s="20" t="s">
        <v>51</v>
      </c>
    </row>
    <row r="72" spans="1:24" x14ac:dyDescent="0.25">
      <c r="A72" s="20" t="s">
        <v>176</v>
      </c>
      <c r="B72" s="21">
        <v>45762</v>
      </c>
      <c r="C72" s="20" t="s">
        <v>37</v>
      </c>
      <c r="D72" s="20" t="s">
        <v>26</v>
      </c>
      <c r="E72" s="20" t="s">
        <v>38</v>
      </c>
      <c r="F72" s="20" t="s">
        <v>114</v>
      </c>
      <c r="G72" s="20" t="s">
        <v>83</v>
      </c>
      <c r="H72" s="20" t="s">
        <v>57</v>
      </c>
      <c r="I72" s="20" t="s">
        <v>31</v>
      </c>
      <c r="J72" s="20" t="s">
        <v>41</v>
      </c>
      <c r="K72" s="20" t="s">
        <v>42</v>
      </c>
      <c r="L72" s="20" t="s">
        <v>43</v>
      </c>
      <c r="M72" s="20">
        <v>168680</v>
      </c>
      <c r="N72" s="20">
        <v>1821</v>
      </c>
      <c r="O72" s="27">
        <v>1.08</v>
      </c>
      <c r="P72" s="22">
        <v>1.35E-2</v>
      </c>
      <c r="Q72" s="20">
        <v>24</v>
      </c>
      <c r="R72" s="23">
        <v>124915.06</v>
      </c>
      <c r="S72" s="20">
        <v>68.599999999999994</v>
      </c>
      <c r="T72" s="20">
        <v>5204.79</v>
      </c>
      <c r="U72" s="23">
        <v>226358.58</v>
      </c>
      <c r="V72" s="22">
        <v>0.81210000000000004</v>
      </c>
      <c r="W72" s="22">
        <v>6.4199999999999993E-2</v>
      </c>
      <c r="X72" s="20" t="s">
        <v>51</v>
      </c>
    </row>
    <row r="73" spans="1:24" x14ac:dyDescent="0.25">
      <c r="A73" s="20" t="s">
        <v>177</v>
      </c>
      <c r="B73" s="21">
        <v>45939</v>
      </c>
      <c r="C73" s="20" t="s">
        <v>25</v>
      </c>
      <c r="D73" s="20" t="s">
        <v>26</v>
      </c>
      <c r="E73" s="20" t="s">
        <v>66</v>
      </c>
      <c r="F73" s="20" t="s">
        <v>55</v>
      </c>
      <c r="G73" s="20" t="s">
        <v>40</v>
      </c>
      <c r="H73" s="20" t="s">
        <v>64</v>
      </c>
      <c r="I73" s="20" t="s">
        <v>49</v>
      </c>
      <c r="J73" s="20" t="s">
        <v>127</v>
      </c>
      <c r="K73" s="20" t="s">
        <v>128</v>
      </c>
      <c r="L73" s="20" t="s">
        <v>60</v>
      </c>
      <c r="M73" s="20">
        <v>219847</v>
      </c>
      <c r="N73" s="20">
        <v>17389</v>
      </c>
      <c r="O73" s="27">
        <v>7.91</v>
      </c>
      <c r="P73" s="22">
        <v>8.3500000000000005E-2</v>
      </c>
      <c r="Q73" s="20">
        <v>1451</v>
      </c>
      <c r="R73" s="23">
        <v>105625.65</v>
      </c>
      <c r="S73" s="20">
        <v>6.07</v>
      </c>
      <c r="T73" s="20">
        <v>72.8</v>
      </c>
      <c r="U73" s="23">
        <v>86412.34</v>
      </c>
      <c r="V73" s="22">
        <v>-0.18190000000000001</v>
      </c>
      <c r="W73" s="22">
        <v>0.11310000000000001</v>
      </c>
      <c r="X73" s="20" t="s">
        <v>51</v>
      </c>
    </row>
    <row r="74" spans="1:24" x14ac:dyDescent="0.25">
      <c r="A74" s="20" t="s">
        <v>178</v>
      </c>
      <c r="B74" s="21">
        <v>45870</v>
      </c>
      <c r="C74" s="20" t="s">
        <v>70</v>
      </c>
      <c r="D74" s="20" t="s">
        <v>54</v>
      </c>
      <c r="E74" s="20" t="s">
        <v>62</v>
      </c>
      <c r="F74" s="20" t="s">
        <v>117</v>
      </c>
      <c r="G74" s="20" t="s">
        <v>40</v>
      </c>
      <c r="H74" s="20" t="s">
        <v>64</v>
      </c>
      <c r="I74" s="20" t="s">
        <v>49</v>
      </c>
      <c r="J74" s="20" t="s">
        <v>73</v>
      </c>
      <c r="K74" s="20" t="s">
        <v>74</v>
      </c>
      <c r="L74" s="20" t="s">
        <v>75</v>
      </c>
      <c r="M74" s="20">
        <v>111780</v>
      </c>
      <c r="N74" s="20">
        <v>8450</v>
      </c>
      <c r="O74" s="27">
        <v>7.56</v>
      </c>
      <c r="P74" s="22">
        <v>5.7799999999999997E-2</v>
      </c>
      <c r="Q74" s="20">
        <v>488</v>
      </c>
      <c r="R74" s="23">
        <v>40828.58</v>
      </c>
      <c r="S74" s="20">
        <v>4.83</v>
      </c>
      <c r="T74" s="20">
        <v>83.67</v>
      </c>
      <c r="U74" s="23">
        <v>39240.35</v>
      </c>
      <c r="V74" s="22">
        <v>-3.8899999999999997E-2</v>
      </c>
      <c r="W74" s="22">
        <v>1.8100000000000002E-2</v>
      </c>
      <c r="X74" s="20" t="s">
        <v>51</v>
      </c>
    </row>
    <row r="75" spans="1:24" x14ac:dyDescent="0.25">
      <c r="A75" s="20" t="s">
        <v>179</v>
      </c>
      <c r="B75" s="21">
        <v>45844</v>
      </c>
      <c r="C75" s="20" t="s">
        <v>95</v>
      </c>
      <c r="D75" s="20" t="s">
        <v>79</v>
      </c>
      <c r="E75" s="20" t="s">
        <v>38</v>
      </c>
      <c r="F75" s="20" t="s">
        <v>39</v>
      </c>
      <c r="G75" s="20" t="s">
        <v>40</v>
      </c>
      <c r="H75" s="20" t="s">
        <v>87</v>
      </c>
      <c r="I75" s="20" t="s">
        <v>31</v>
      </c>
      <c r="J75" s="20" t="s">
        <v>96</v>
      </c>
      <c r="K75" s="20" t="s">
        <v>97</v>
      </c>
      <c r="L75" s="20" t="s">
        <v>43</v>
      </c>
      <c r="M75" s="20">
        <v>79709</v>
      </c>
      <c r="N75" s="20">
        <v>4232</v>
      </c>
      <c r="O75" s="27">
        <v>5.31</v>
      </c>
      <c r="P75" s="22">
        <v>0.1101</v>
      </c>
      <c r="Q75" s="20">
        <v>465</v>
      </c>
      <c r="R75" s="23">
        <v>24079.72</v>
      </c>
      <c r="S75" s="20">
        <v>5.69</v>
      </c>
      <c r="T75" s="20">
        <v>51.78</v>
      </c>
      <c r="U75" s="23">
        <v>51313.88</v>
      </c>
      <c r="V75" s="22">
        <v>1.131</v>
      </c>
      <c r="W75" s="22">
        <v>5.8799999999999998E-2</v>
      </c>
      <c r="X75" s="20" t="s">
        <v>51</v>
      </c>
    </row>
    <row r="76" spans="1:24" x14ac:dyDescent="0.25">
      <c r="A76" s="20" t="s">
        <v>180</v>
      </c>
      <c r="B76" s="21">
        <v>45732</v>
      </c>
      <c r="C76" s="20" t="s">
        <v>53</v>
      </c>
      <c r="D76" s="20" t="s">
        <v>54</v>
      </c>
      <c r="E76" s="20" t="s">
        <v>47</v>
      </c>
      <c r="F76" s="20" t="s">
        <v>48</v>
      </c>
      <c r="G76" s="20" t="s">
        <v>63</v>
      </c>
      <c r="H76" s="20" t="s">
        <v>71</v>
      </c>
      <c r="I76" s="20" t="s">
        <v>31</v>
      </c>
      <c r="J76" s="20" t="s">
        <v>121</v>
      </c>
      <c r="K76" s="20" t="s">
        <v>74</v>
      </c>
      <c r="L76" s="20" t="s">
        <v>75</v>
      </c>
      <c r="M76" s="20">
        <v>206187</v>
      </c>
      <c r="N76" s="20">
        <v>8618</v>
      </c>
      <c r="O76" s="27">
        <v>4.18</v>
      </c>
      <c r="P76" s="22">
        <v>9.8500000000000004E-2</v>
      </c>
      <c r="Q76" s="20">
        <v>848</v>
      </c>
      <c r="R76" s="23">
        <v>241785.27</v>
      </c>
      <c r="S76" s="20">
        <v>28.06</v>
      </c>
      <c r="T76" s="20">
        <v>285.12</v>
      </c>
      <c r="U76" s="23">
        <v>278996.02</v>
      </c>
      <c r="V76" s="22">
        <v>0.15390000000000001</v>
      </c>
      <c r="W76" s="22">
        <v>2.3400000000000001E-2</v>
      </c>
      <c r="X76" s="20" t="s">
        <v>76</v>
      </c>
    </row>
    <row r="77" spans="1:24" x14ac:dyDescent="0.25">
      <c r="A77" s="20" t="s">
        <v>181</v>
      </c>
      <c r="B77" s="21">
        <v>45905</v>
      </c>
      <c r="C77" s="20" t="s">
        <v>53</v>
      </c>
      <c r="D77" s="20" t="s">
        <v>54</v>
      </c>
      <c r="E77" s="20" t="s">
        <v>62</v>
      </c>
      <c r="F77" s="20" t="s">
        <v>152</v>
      </c>
      <c r="G77" s="20" t="s">
        <v>83</v>
      </c>
      <c r="H77" s="20" t="s">
        <v>87</v>
      </c>
      <c r="I77" s="20" t="s">
        <v>49</v>
      </c>
      <c r="J77" s="20" t="s">
        <v>41</v>
      </c>
      <c r="K77" s="20" t="s">
        <v>42</v>
      </c>
      <c r="L77" s="20" t="s">
        <v>43</v>
      </c>
      <c r="M77" s="20">
        <v>365823</v>
      </c>
      <c r="N77" s="20">
        <v>24436</v>
      </c>
      <c r="O77" s="27">
        <v>6.68</v>
      </c>
      <c r="P77" s="22">
        <v>2.76E-2</v>
      </c>
      <c r="Q77" s="20">
        <v>674</v>
      </c>
      <c r="R77" s="23">
        <v>196884.74</v>
      </c>
      <c r="S77" s="20">
        <v>8.06</v>
      </c>
      <c r="T77" s="20">
        <v>292.11</v>
      </c>
      <c r="U77" s="23">
        <v>238388.04</v>
      </c>
      <c r="V77" s="22">
        <v>0.21079999999999999</v>
      </c>
      <c r="W77" s="22">
        <v>6.3700000000000007E-2</v>
      </c>
      <c r="X77" s="20" t="s">
        <v>51</v>
      </c>
    </row>
    <row r="78" spans="1:24" x14ac:dyDescent="0.25">
      <c r="A78" s="20" t="s">
        <v>182</v>
      </c>
      <c r="B78" s="21">
        <v>45900</v>
      </c>
      <c r="C78" s="20" t="s">
        <v>25</v>
      </c>
      <c r="D78" s="20" t="s">
        <v>26</v>
      </c>
      <c r="E78" s="20" t="s">
        <v>85</v>
      </c>
      <c r="F78" s="20" t="s">
        <v>86</v>
      </c>
      <c r="G78" s="20" t="s">
        <v>29</v>
      </c>
      <c r="H78" s="20" t="s">
        <v>64</v>
      </c>
      <c r="I78" s="20" t="s">
        <v>49</v>
      </c>
      <c r="J78" s="20" t="s">
        <v>88</v>
      </c>
      <c r="K78" s="20" t="s">
        <v>89</v>
      </c>
      <c r="L78" s="20" t="s">
        <v>34</v>
      </c>
      <c r="M78" s="20">
        <v>206104</v>
      </c>
      <c r="N78" s="20">
        <v>6574</v>
      </c>
      <c r="O78" s="27">
        <v>3.19</v>
      </c>
      <c r="P78" s="22">
        <v>2.64E-2</v>
      </c>
      <c r="Q78" s="20">
        <v>173</v>
      </c>
      <c r="R78" s="23">
        <v>242731.69</v>
      </c>
      <c r="S78" s="20">
        <v>36.92</v>
      </c>
      <c r="T78" s="20">
        <v>1403.07</v>
      </c>
      <c r="U78" s="23">
        <v>625276.82999999996</v>
      </c>
      <c r="V78" s="22">
        <v>1.5760000000000001</v>
      </c>
      <c r="W78" s="22">
        <v>3.2899999999999999E-2</v>
      </c>
      <c r="X78" s="20" t="s">
        <v>51</v>
      </c>
    </row>
    <row r="79" spans="1:24" x14ac:dyDescent="0.25">
      <c r="A79" s="20" t="s">
        <v>183</v>
      </c>
      <c r="B79" s="21">
        <v>45677</v>
      </c>
      <c r="C79" s="20" t="s">
        <v>53</v>
      </c>
      <c r="D79" s="20" t="s">
        <v>54</v>
      </c>
      <c r="E79" s="20" t="s">
        <v>62</v>
      </c>
      <c r="F79" s="20" t="s">
        <v>117</v>
      </c>
      <c r="G79" s="20" t="s">
        <v>63</v>
      </c>
      <c r="H79" s="20" t="s">
        <v>64</v>
      </c>
      <c r="I79" s="20" t="s">
        <v>49</v>
      </c>
      <c r="J79" s="20" t="s">
        <v>92</v>
      </c>
      <c r="K79" s="20" t="s">
        <v>93</v>
      </c>
      <c r="L79" s="20" t="s">
        <v>34</v>
      </c>
      <c r="M79" s="20">
        <v>333750</v>
      </c>
      <c r="N79" s="20">
        <v>21159</v>
      </c>
      <c r="O79" s="27">
        <v>6.34</v>
      </c>
      <c r="P79" s="22">
        <v>8.14E-2</v>
      </c>
      <c r="Q79" s="20">
        <v>1722</v>
      </c>
      <c r="R79" s="23">
        <v>78436.479999999996</v>
      </c>
      <c r="S79" s="20">
        <v>3.71</v>
      </c>
      <c r="T79" s="20">
        <v>45.55</v>
      </c>
      <c r="U79" s="23">
        <v>99873.17</v>
      </c>
      <c r="V79" s="22">
        <v>0.27329999999999999</v>
      </c>
      <c r="W79" s="22">
        <v>6.1400000000000003E-2</v>
      </c>
      <c r="X79" s="20" t="s">
        <v>51</v>
      </c>
    </row>
    <row r="80" spans="1:24" x14ac:dyDescent="0.25">
      <c r="A80" s="20" t="s">
        <v>184</v>
      </c>
      <c r="B80" s="21">
        <v>45915</v>
      </c>
      <c r="C80" s="20" t="s">
        <v>95</v>
      </c>
      <c r="D80" s="20" t="s">
        <v>79</v>
      </c>
      <c r="E80" s="20" t="s">
        <v>80</v>
      </c>
      <c r="F80" s="20" t="s">
        <v>81</v>
      </c>
      <c r="G80" s="20" t="s">
        <v>29</v>
      </c>
      <c r="H80" s="20" t="s">
        <v>30</v>
      </c>
      <c r="I80" s="20" t="s">
        <v>72</v>
      </c>
      <c r="J80" s="20" t="s">
        <v>102</v>
      </c>
      <c r="K80" s="20" t="s">
        <v>103</v>
      </c>
      <c r="L80" s="20" t="s">
        <v>75</v>
      </c>
      <c r="M80" s="20">
        <v>128339</v>
      </c>
      <c r="N80" s="20">
        <v>4941</v>
      </c>
      <c r="O80" s="27">
        <v>3.85</v>
      </c>
      <c r="P80" s="22">
        <v>7.8E-2</v>
      </c>
      <c r="Q80" s="20">
        <v>385</v>
      </c>
      <c r="R80" s="23">
        <v>205104.62</v>
      </c>
      <c r="S80" s="20">
        <v>41.51</v>
      </c>
      <c r="T80" s="20">
        <v>532.74</v>
      </c>
      <c r="U80" s="23">
        <v>538215.03</v>
      </c>
      <c r="V80" s="22">
        <v>1.6241000000000001</v>
      </c>
      <c r="W80" s="22">
        <v>0.1225</v>
      </c>
      <c r="X80" s="20" t="s">
        <v>51</v>
      </c>
    </row>
    <row r="81" spans="1:24" x14ac:dyDescent="0.25">
      <c r="A81" s="20" t="s">
        <v>185</v>
      </c>
      <c r="B81" s="21">
        <v>45692</v>
      </c>
      <c r="C81" s="20" t="s">
        <v>25</v>
      </c>
      <c r="D81" s="20" t="s">
        <v>26</v>
      </c>
      <c r="E81" s="20" t="s">
        <v>47</v>
      </c>
      <c r="F81" s="20" t="s">
        <v>125</v>
      </c>
      <c r="G81" s="20" t="s">
        <v>56</v>
      </c>
      <c r="H81" s="20" t="s">
        <v>87</v>
      </c>
      <c r="I81" s="20" t="s">
        <v>72</v>
      </c>
      <c r="J81" s="20" t="s">
        <v>96</v>
      </c>
      <c r="K81" s="20" t="s">
        <v>97</v>
      </c>
      <c r="L81" s="20" t="s">
        <v>43</v>
      </c>
      <c r="M81" s="20">
        <v>272471</v>
      </c>
      <c r="N81" s="20">
        <v>14795</v>
      </c>
      <c r="O81" s="27">
        <v>5.43</v>
      </c>
      <c r="P81" s="22">
        <v>1.4500000000000001E-2</v>
      </c>
      <c r="Q81" s="20">
        <v>214</v>
      </c>
      <c r="R81" s="23">
        <v>34307.199999999997</v>
      </c>
      <c r="S81" s="20">
        <v>2.3199999999999998</v>
      </c>
      <c r="T81" s="20">
        <v>160.31</v>
      </c>
      <c r="U81" s="23">
        <v>96777.18</v>
      </c>
      <c r="V81" s="22">
        <v>1.8209</v>
      </c>
      <c r="W81" s="22">
        <v>5.0500000000000003E-2</v>
      </c>
      <c r="X81" s="20" t="s">
        <v>51</v>
      </c>
    </row>
    <row r="82" spans="1:24" x14ac:dyDescent="0.25">
      <c r="A82" s="20" t="s">
        <v>186</v>
      </c>
      <c r="B82" s="21">
        <v>45698</v>
      </c>
      <c r="C82" s="20" t="s">
        <v>37</v>
      </c>
      <c r="D82" s="20" t="s">
        <v>26</v>
      </c>
      <c r="E82" s="20" t="s">
        <v>38</v>
      </c>
      <c r="F82" s="20" t="s">
        <v>114</v>
      </c>
      <c r="G82" s="20" t="s">
        <v>40</v>
      </c>
      <c r="H82" s="20" t="s">
        <v>87</v>
      </c>
      <c r="I82" s="20" t="s">
        <v>31</v>
      </c>
      <c r="J82" s="20" t="s">
        <v>41</v>
      </c>
      <c r="K82" s="20" t="s">
        <v>42</v>
      </c>
      <c r="L82" s="20" t="s">
        <v>43</v>
      </c>
      <c r="M82" s="20">
        <v>388823</v>
      </c>
      <c r="N82" s="20">
        <v>22124</v>
      </c>
      <c r="O82" s="27">
        <v>5.69</v>
      </c>
      <c r="P82" s="22">
        <v>2.2100000000000002E-2</v>
      </c>
      <c r="Q82" s="20">
        <v>488</v>
      </c>
      <c r="R82" s="23">
        <v>34641.129999999997</v>
      </c>
      <c r="S82" s="20">
        <v>1.57</v>
      </c>
      <c r="T82" s="20">
        <v>70.989999999999995</v>
      </c>
      <c r="U82" s="23">
        <v>94816.24</v>
      </c>
      <c r="V82" s="22">
        <v>1.7371000000000001</v>
      </c>
      <c r="W82" s="22">
        <v>4.6699999999999998E-2</v>
      </c>
      <c r="X82" s="20" t="s">
        <v>51</v>
      </c>
    </row>
    <row r="83" spans="1:24" x14ac:dyDescent="0.25">
      <c r="A83" s="20" t="s">
        <v>187</v>
      </c>
      <c r="B83" s="21">
        <v>45742</v>
      </c>
      <c r="C83" s="20" t="s">
        <v>78</v>
      </c>
      <c r="D83" s="20" t="s">
        <v>79</v>
      </c>
      <c r="E83" s="20" t="s">
        <v>62</v>
      </c>
      <c r="F83" s="20" t="s">
        <v>117</v>
      </c>
      <c r="G83" s="20" t="s">
        <v>63</v>
      </c>
      <c r="H83" s="20" t="s">
        <v>57</v>
      </c>
      <c r="I83" s="20" t="s">
        <v>31</v>
      </c>
      <c r="J83" s="20" t="s">
        <v>32</v>
      </c>
      <c r="K83" s="20" t="s">
        <v>33</v>
      </c>
      <c r="L83" s="20" t="s">
        <v>34</v>
      </c>
      <c r="M83" s="20">
        <v>475043</v>
      </c>
      <c r="N83" s="20">
        <v>24227</v>
      </c>
      <c r="O83" s="27">
        <v>5.0999999999999996</v>
      </c>
      <c r="P83" s="22">
        <v>0.1096</v>
      </c>
      <c r="Q83" s="20">
        <v>2655</v>
      </c>
      <c r="R83" s="23">
        <v>115187.9</v>
      </c>
      <c r="S83" s="20">
        <v>4.75</v>
      </c>
      <c r="T83" s="20">
        <v>43.39</v>
      </c>
      <c r="U83" s="23">
        <v>147970.38</v>
      </c>
      <c r="V83" s="22">
        <v>0.28460000000000002</v>
      </c>
      <c r="W83" s="22">
        <v>0.14480000000000001</v>
      </c>
      <c r="X83" s="20" t="s">
        <v>51</v>
      </c>
    </row>
    <row r="84" spans="1:24" x14ac:dyDescent="0.25">
      <c r="A84" s="20" t="s">
        <v>188</v>
      </c>
      <c r="B84" s="21">
        <v>45961</v>
      </c>
      <c r="C84" s="20" t="s">
        <v>120</v>
      </c>
      <c r="D84" s="20" t="s">
        <v>79</v>
      </c>
      <c r="E84" s="20" t="s">
        <v>85</v>
      </c>
      <c r="F84" s="20" t="s">
        <v>86</v>
      </c>
      <c r="G84" s="20" t="s">
        <v>56</v>
      </c>
      <c r="H84" s="20" t="s">
        <v>57</v>
      </c>
      <c r="I84" s="20" t="s">
        <v>31</v>
      </c>
      <c r="J84" s="20" t="s">
        <v>134</v>
      </c>
      <c r="K84" s="20" t="s">
        <v>135</v>
      </c>
      <c r="L84" s="20" t="s">
        <v>34</v>
      </c>
      <c r="M84" s="20">
        <v>100470</v>
      </c>
      <c r="N84" s="20">
        <v>3546</v>
      </c>
      <c r="O84" s="27">
        <v>3.53</v>
      </c>
      <c r="P84" s="22">
        <v>0.08</v>
      </c>
      <c r="Q84" s="20">
        <v>283</v>
      </c>
      <c r="R84" s="23">
        <v>70993.149999999994</v>
      </c>
      <c r="S84" s="20">
        <v>20.02</v>
      </c>
      <c r="T84" s="20">
        <v>250.86</v>
      </c>
      <c r="U84" s="23">
        <v>103224.04</v>
      </c>
      <c r="V84" s="22">
        <v>0.45400000000000001</v>
      </c>
      <c r="W84" s="22">
        <v>5.96E-2</v>
      </c>
      <c r="X84" s="20" t="s">
        <v>51</v>
      </c>
    </row>
    <row r="85" spans="1:24" x14ac:dyDescent="0.25">
      <c r="A85" s="20" t="s">
        <v>189</v>
      </c>
      <c r="B85" s="21">
        <v>45793</v>
      </c>
      <c r="C85" s="20" t="s">
        <v>105</v>
      </c>
      <c r="D85" s="20" t="s">
        <v>46</v>
      </c>
      <c r="E85" s="20" t="s">
        <v>38</v>
      </c>
      <c r="F85" s="20" t="s">
        <v>39</v>
      </c>
      <c r="G85" s="20" t="s">
        <v>56</v>
      </c>
      <c r="H85" s="20" t="s">
        <v>64</v>
      </c>
      <c r="I85" s="20" t="s">
        <v>49</v>
      </c>
      <c r="J85" s="20" t="s">
        <v>96</v>
      </c>
      <c r="K85" s="20" t="s">
        <v>97</v>
      </c>
      <c r="L85" s="20" t="s">
        <v>43</v>
      </c>
      <c r="M85" s="20">
        <v>309109</v>
      </c>
      <c r="N85" s="20">
        <v>17526</v>
      </c>
      <c r="O85" s="27">
        <v>5.67</v>
      </c>
      <c r="P85" s="22">
        <v>0.1086</v>
      </c>
      <c r="Q85" s="20">
        <v>1903</v>
      </c>
      <c r="R85" s="23">
        <v>64503.839999999997</v>
      </c>
      <c r="S85" s="20">
        <v>3.68</v>
      </c>
      <c r="T85" s="20">
        <v>33.9</v>
      </c>
      <c r="U85" s="23">
        <v>124627.87</v>
      </c>
      <c r="V85" s="22">
        <v>0.93210000000000004</v>
      </c>
      <c r="W85" s="22">
        <v>0.12920000000000001</v>
      </c>
      <c r="X85" s="20" t="s">
        <v>51</v>
      </c>
    </row>
    <row r="86" spans="1:24" x14ac:dyDescent="0.25">
      <c r="A86" s="20" t="s">
        <v>190</v>
      </c>
      <c r="B86" s="21">
        <v>45848</v>
      </c>
      <c r="C86" s="20" t="s">
        <v>120</v>
      </c>
      <c r="D86" s="20" t="s">
        <v>79</v>
      </c>
      <c r="E86" s="20" t="s">
        <v>27</v>
      </c>
      <c r="F86" s="20" t="s">
        <v>55</v>
      </c>
      <c r="G86" s="20" t="s">
        <v>63</v>
      </c>
      <c r="H86" s="20" t="s">
        <v>71</v>
      </c>
      <c r="I86" s="20" t="s">
        <v>72</v>
      </c>
      <c r="J86" s="20" t="s">
        <v>32</v>
      </c>
      <c r="K86" s="20" t="s">
        <v>33</v>
      </c>
      <c r="L86" s="20" t="s">
        <v>34</v>
      </c>
      <c r="M86" s="20">
        <v>405891</v>
      </c>
      <c r="N86" s="20">
        <v>4505</v>
      </c>
      <c r="O86" s="27">
        <v>1.1100000000000001</v>
      </c>
      <c r="P86" s="22">
        <v>3.5299999999999998E-2</v>
      </c>
      <c r="Q86" s="20">
        <v>159</v>
      </c>
      <c r="R86" s="23">
        <v>154612.66</v>
      </c>
      <c r="S86" s="20">
        <v>34.32</v>
      </c>
      <c r="T86" s="20">
        <v>972.41</v>
      </c>
      <c r="U86" s="23">
        <v>448902.40000000002</v>
      </c>
      <c r="V86" s="22">
        <v>1.9034</v>
      </c>
      <c r="W86" s="22">
        <v>4.8000000000000001E-2</v>
      </c>
      <c r="X86" s="20" t="s">
        <v>51</v>
      </c>
    </row>
    <row r="87" spans="1:24" x14ac:dyDescent="0.25">
      <c r="A87" s="20" t="s">
        <v>191</v>
      </c>
      <c r="B87" s="21">
        <v>45816</v>
      </c>
      <c r="C87" s="20" t="s">
        <v>45</v>
      </c>
      <c r="D87" s="20" t="s">
        <v>46</v>
      </c>
      <c r="E87" s="20" t="s">
        <v>66</v>
      </c>
      <c r="F87" s="20" t="s">
        <v>67</v>
      </c>
      <c r="G87" s="20" t="s">
        <v>29</v>
      </c>
      <c r="H87" s="20" t="s">
        <v>87</v>
      </c>
      <c r="I87" s="20" t="s">
        <v>31</v>
      </c>
      <c r="J87" s="20" t="s">
        <v>88</v>
      </c>
      <c r="K87" s="20" t="s">
        <v>89</v>
      </c>
      <c r="L87" s="20" t="s">
        <v>34</v>
      </c>
      <c r="M87" s="20">
        <v>157552</v>
      </c>
      <c r="N87" s="20">
        <v>8066</v>
      </c>
      <c r="O87" s="27">
        <v>5.12</v>
      </c>
      <c r="P87" s="22">
        <v>5.7500000000000002E-2</v>
      </c>
      <c r="Q87" s="20">
        <v>463</v>
      </c>
      <c r="R87" s="23">
        <v>129144.14</v>
      </c>
      <c r="S87" s="20">
        <v>16.010000000000002</v>
      </c>
      <c r="T87" s="20">
        <v>278.93</v>
      </c>
      <c r="U87" s="23">
        <v>356399.08</v>
      </c>
      <c r="V87" s="22">
        <v>1.7597</v>
      </c>
      <c r="W87" s="22">
        <v>2.41E-2</v>
      </c>
      <c r="X87" s="20" t="s">
        <v>35</v>
      </c>
    </row>
    <row r="88" spans="1:24" x14ac:dyDescent="0.25">
      <c r="A88" s="20" t="s">
        <v>192</v>
      </c>
      <c r="B88" s="21">
        <v>45681</v>
      </c>
      <c r="C88" s="20" t="s">
        <v>37</v>
      </c>
      <c r="D88" s="20" t="s">
        <v>26</v>
      </c>
      <c r="E88" s="20" t="s">
        <v>62</v>
      </c>
      <c r="F88" s="20" t="s">
        <v>28</v>
      </c>
      <c r="G88" s="20" t="s">
        <v>63</v>
      </c>
      <c r="H88" s="20" t="s">
        <v>57</v>
      </c>
      <c r="I88" s="20" t="s">
        <v>72</v>
      </c>
      <c r="J88" s="20" t="s">
        <v>121</v>
      </c>
      <c r="K88" s="20" t="s">
        <v>74</v>
      </c>
      <c r="L88" s="20" t="s">
        <v>75</v>
      </c>
      <c r="M88" s="20">
        <v>279249</v>
      </c>
      <c r="N88" s="20">
        <v>8880</v>
      </c>
      <c r="O88" s="27">
        <v>3.18</v>
      </c>
      <c r="P88" s="22">
        <v>3.4700000000000002E-2</v>
      </c>
      <c r="Q88" s="20">
        <v>308</v>
      </c>
      <c r="R88" s="23">
        <v>146730.54999999999</v>
      </c>
      <c r="S88" s="20">
        <v>16.52</v>
      </c>
      <c r="T88" s="20">
        <v>476.4</v>
      </c>
      <c r="U88" s="23">
        <v>301516.61</v>
      </c>
      <c r="V88" s="22">
        <v>1.0548999999999999</v>
      </c>
      <c r="W88" s="22">
        <v>3.4599999999999999E-2</v>
      </c>
      <c r="X88" s="20" t="s">
        <v>51</v>
      </c>
    </row>
    <row r="89" spans="1:24" x14ac:dyDescent="0.25">
      <c r="A89" s="20" t="s">
        <v>193</v>
      </c>
      <c r="B89" s="21">
        <v>45901</v>
      </c>
      <c r="C89" s="20" t="s">
        <v>25</v>
      </c>
      <c r="D89" s="20" t="s">
        <v>26</v>
      </c>
      <c r="E89" s="20" t="s">
        <v>80</v>
      </c>
      <c r="F89" s="20" t="s">
        <v>81</v>
      </c>
      <c r="G89" s="20" t="s">
        <v>40</v>
      </c>
      <c r="H89" s="20" t="s">
        <v>71</v>
      </c>
      <c r="I89" s="20" t="s">
        <v>72</v>
      </c>
      <c r="J89" s="20" t="s">
        <v>121</v>
      </c>
      <c r="K89" s="20" t="s">
        <v>74</v>
      </c>
      <c r="L89" s="20" t="s">
        <v>75</v>
      </c>
      <c r="M89" s="20">
        <v>38380</v>
      </c>
      <c r="N89" s="20">
        <v>2030</v>
      </c>
      <c r="O89" s="27">
        <v>5.29</v>
      </c>
      <c r="P89" s="22">
        <v>0.10580000000000001</v>
      </c>
      <c r="Q89" s="20">
        <v>214</v>
      </c>
      <c r="R89" s="23">
        <v>195974.72</v>
      </c>
      <c r="S89" s="20">
        <v>96.54</v>
      </c>
      <c r="T89" s="20">
        <v>915.77</v>
      </c>
      <c r="U89" s="23">
        <v>318360.93</v>
      </c>
      <c r="V89" s="22">
        <v>0.62450000000000006</v>
      </c>
      <c r="W89" s="22">
        <v>4.3299999999999998E-2</v>
      </c>
      <c r="X89" s="20" t="s">
        <v>35</v>
      </c>
    </row>
    <row r="90" spans="1:24" x14ac:dyDescent="0.25">
      <c r="A90" s="20" t="s">
        <v>194</v>
      </c>
      <c r="B90" s="21">
        <v>45945</v>
      </c>
      <c r="C90" s="20" t="s">
        <v>53</v>
      </c>
      <c r="D90" s="20" t="s">
        <v>54</v>
      </c>
      <c r="E90" s="20" t="s">
        <v>85</v>
      </c>
      <c r="F90" s="20" t="s">
        <v>91</v>
      </c>
      <c r="G90" s="20" t="s">
        <v>63</v>
      </c>
      <c r="H90" s="20" t="s">
        <v>30</v>
      </c>
      <c r="I90" s="20" t="s">
        <v>49</v>
      </c>
      <c r="J90" s="20" t="s">
        <v>102</v>
      </c>
      <c r="K90" s="20" t="s">
        <v>103</v>
      </c>
      <c r="L90" s="20" t="s">
        <v>75</v>
      </c>
      <c r="M90" s="20">
        <v>135284</v>
      </c>
      <c r="N90" s="20">
        <v>2353</v>
      </c>
      <c r="O90" s="27">
        <v>1.74</v>
      </c>
      <c r="P90" s="22">
        <v>0.01</v>
      </c>
      <c r="Q90" s="20">
        <v>23</v>
      </c>
      <c r="R90" s="23">
        <v>17259.07</v>
      </c>
      <c r="S90" s="20">
        <v>7.33</v>
      </c>
      <c r="T90" s="20">
        <v>750.39</v>
      </c>
      <c r="U90" s="23">
        <v>13082.38</v>
      </c>
      <c r="V90" s="22">
        <v>-0.24199999999999999</v>
      </c>
      <c r="W90" s="22">
        <v>3.1899999999999998E-2</v>
      </c>
      <c r="X90" s="20" t="s">
        <v>35</v>
      </c>
    </row>
    <row r="91" spans="1:24" x14ac:dyDescent="0.25">
      <c r="A91" s="20" t="s">
        <v>195</v>
      </c>
      <c r="B91" s="21">
        <v>45711</v>
      </c>
      <c r="C91" s="20" t="s">
        <v>37</v>
      </c>
      <c r="D91" s="20" t="s">
        <v>26</v>
      </c>
      <c r="E91" s="20" t="s">
        <v>85</v>
      </c>
      <c r="F91" s="20" t="s">
        <v>86</v>
      </c>
      <c r="G91" s="20" t="s">
        <v>40</v>
      </c>
      <c r="H91" s="20" t="s">
        <v>64</v>
      </c>
      <c r="I91" s="20" t="s">
        <v>31</v>
      </c>
      <c r="J91" s="20" t="s">
        <v>96</v>
      </c>
      <c r="K91" s="20" t="s">
        <v>97</v>
      </c>
      <c r="L91" s="20" t="s">
        <v>43</v>
      </c>
      <c r="M91" s="20">
        <v>323810</v>
      </c>
      <c r="N91" s="20">
        <v>17226</v>
      </c>
      <c r="O91" s="27">
        <v>5.32</v>
      </c>
      <c r="P91" s="22">
        <v>8.1199999999999994E-2</v>
      </c>
      <c r="Q91" s="20">
        <v>1398</v>
      </c>
      <c r="R91" s="23">
        <v>104980.64</v>
      </c>
      <c r="S91" s="20">
        <v>6.09</v>
      </c>
      <c r="T91" s="20">
        <v>75.09</v>
      </c>
      <c r="U91" s="23">
        <v>221540.64</v>
      </c>
      <c r="V91" s="22">
        <v>1.1103000000000001</v>
      </c>
      <c r="W91" s="22">
        <v>7.8700000000000006E-2</v>
      </c>
      <c r="X91" s="20" t="s">
        <v>35</v>
      </c>
    </row>
    <row r="92" spans="1:24" x14ac:dyDescent="0.25">
      <c r="A92" s="20" t="s">
        <v>196</v>
      </c>
      <c r="B92" s="21">
        <v>45682</v>
      </c>
      <c r="C92" s="20" t="s">
        <v>95</v>
      </c>
      <c r="D92" s="20" t="s">
        <v>79</v>
      </c>
      <c r="E92" s="20" t="s">
        <v>66</v>
      </c>
      <c r="F92" s="20" t="s">
        <v>55</v>
      </c>
      <c r="G92" s="20" t="s">
        <v>83</v>
      </c>
      <c r="H92" s="20" t="s">
        <v>64</v>
      </c>
      <c r="I92" s="20" t="s">
        <v>49</v>
      </c>
      <c r="J92" s="20" t="s">
        <v>106</v>
      </c>
      <c r="K92" s="20" t="s">
        <v>107</v>
      </c>
      <c r="L92" s="20" t="s">
        <v>60</v>
      </c>
      <c r="M92" s="20">
        <v>248933</v>
      </c>
      <c r="N92" s="20">
        <v>2738</v>
      </c>
      <c r="O92" s="27">
        <v>1.1000000000000001</v>
      </c>
      <c r="P92" s="22">
        <v>8.2100000000000006E-2</v>
      </c>
      <c r="Q92" s="20">
        <v>224</v>
      </c>
      <c r="R92" s="23">
        <v>45497.15</v>
      </c>
      <c r="S92" s="20">
        <v>16.62</v>
      </c>
      <c r="T92" s="20">
        <v>203.11</v>
      </c>
      <c r="U92" s="23">
        <v>136136.57</v>
      </c>
      <c r="V92" s="22">
        <v>1.9922</v>
      </c>
      <c r="W92" s="22">
        <v>4.2900000000000001E-2</v>
      </c>
      <c r="X92" s="20" t="s">
        <v>51</v>
      </c>
    </row>
    <row r="93" spans="1:24" x14ac:dyDescent="0.25">
      <c r="A93" s="20" t="s">
        <v>197</v>
      </c>
      <c r="B93" s="21">
        <v>45721</v>
      </c>
      <c r="C93" s="20" t="s">
        <v>53</v>
      </c>
      <c r="D93" s="20" t="s">
        <v>54</v>
      </c>
      <c r="E93" s="20" t="s">
        <v>66</v>
      </c>
      <c r="F93" s="20" t="s">
        <v>67</v>
      </c>
      <c r="G93" s="20" t="s">
        <v>29</v>
      </c>
      <c r="H93" s="20" t="s">
        <v>57</v>
      </c>
      <c r="I93" s="20" t="s">
        <v>49</v>
      </c>
      <c r="J93" s="20" t="s">
        <v>96</v>
      </c>
      <c r="K93" s="20" t="s">
        <v>97</v>
      </c>
      <c r="L93" s="20" t="s">
        <v>43</v>
      </c>
      <c r="M93" s="20">
        <v>361114</v>
      </c>
      <c r="N93" s="20">
        <v>13613</v>
      </c>
      <c r="O93" s="27">
        <v>3.77</v>
      </c>
      <c r="P93" s="22">
        <v>9.6699999999999994E-2</v>
      </c>
      <c r="Q93" s="20">
        <v>1316</v>
      </c>
      <c r="R93" s="23">
        <v>131764.67000000001</v>
      </c>
      <c r="S93" s="20">
        <v>9.68</v>
      </c>
      <c r="T93" s="20">
        <v>100.13</v>
      </c>
      <c r="U93" s="23">
        <v>172638.07</v>
      </c>
      <c r="V93" s="22">
        <v>0.31019999999999998</v>
      </c>
      <c r="W93" s="22">
        <v>9.8100000000000007E-2</v>
      </c>
      <c r="X93" s="20" t="s">
        <v>76</v>
      </c>
    </row>
    <row r="94" spans="1:24" x14ac:dyDescent="0.25">
      <c r="A94" s="20" t="s">
        <v>198</v>
      </c>
      <c r="B94" s="21">
        <v>45769</v>
      </c>
      <c r="C94" s="20" t="s">
        <v>105</v>
      </c>
      <c r="D94" s="20" t="s">
        <v>46</v>
      </c>
      <c r="E94" s="20" t="s">
        <v>85</v>
      </c>
      <c r="F94" s="20" t="s">
        <v>86</v>
      </c>
      <c r="G94" s="20" t="s">
        <v>40</v>
      </c>
      <c r="H94" s="20" t="s">
        <v>57</v>
      </c>
      <c r="I94" s="20" t="s">
        <v>31</v>
      </c>
      <c r="J94" s="20" t="s">
        <v>92</v>
      </c>
      <c r="K94" s="20" t="s">
        <v>93</v>
      </c>
      <c r="L94" s="20" t="s">
        <v>34</v>
      </c>
      <c r="M94" s="20">
        <v>395006</v>
      </c>
      <c r="N94" s="20">
        <v>7979</v>
      </c>
      <c r="O94" s="27">
        <v>2.02</v>
      </c>
      <c r="P94" s="22">
        <v>2.75E-2</v>
      </c>
      <c r="Q94" s="20">
        <v>219</v>
      </c>
      <c r="R94" s="23">
        <v>228909.68</v>
      </c>
      <c r="S94" s="20">
        <v>28.69</v>
      </c>
      <c r="T94" s="20">
        <v>1045.25</v>
      </c>
      <c r="U94" s="23">
        <v>261300.4</v>
      </c>
      <c r="V94" s="22">
        <v>0.14149999999999999</v>
      </c>
      <c r="W94" s="22">
        <v>6.1400000000000003E-2</v>
      </c>
      <c r="X94" s="20" t="s">
        <v>51</v>
      </c>
    </row>
    <row r="95" spans="1:24" x14ac:dyDescent="0.25">
      <c r="A95" s="20" t="s">
        <v>199</v>
      </c>
      <c r="B95" s="21">
        <v>45852</v>
      </c>
      <c r="C95" s="20" t="s">
        <v>99</v>
      </c>
      <c r="D95" s="20" t="s">
        <v>46</v>
      </c>
      <c r="E95" s="20" t="s">
        <v>27</v>
      </c>
      <c r="F95" s="20" t="s">
        <v>55</v>
      </c>
      <c r="G95" s="20" t="s">
        <v>63</v>
      </c>
      <c r="H95" s="20" t="s">
        <v>87</v>
      </c>
      <c r="I95" s="20" t="s">
        <v>31</v>
      </c>
      <c r="J95" s="20" t="s">
        <v>73</v>
      </c>
      <c r="K95" s="20" t="s">
        <v>74</v>
      </c>
      <c r="L95" s="20" t="s">
        <v>75</v>
      </c>
      <c r="M95" s="20">
        <v>384911</v>
      </c>
      <c r="N95" s="20">
        <v>8660</v>
      </c>
      <c r="O95" s="27">
        <v>2.25</v>
      </c>
      <c r="P95" s="22">
        <v>0.10730000000000001</v>
      </c>
      <c r="Q95" s="20">
        <v>929</v>
      </c>
      <c r="R95" s="23">
        <v>197722.19</v>
      </c>
      <c r="S95" s="20">
        <v>22.83</v>
      </c>
      <c r="T95" s="20">
        <v>212.83</v>
      </c>
      <c r="U95" s="23">
        <v>316474.14</v>
      </c>
      <c r="V95" s="22">
        <v>0.60060000000000002</v>
      </c>
      <c r="W95" s="22">
        <v>8.9899999999999994E-2</v>
      </c>
      <c r="X95" s="20" t="s">
        <v>51</v>
      </c>
    </row>
    <row r="96" spans="1:24" x14ac:dyDescent="0.25">
      <c r="A96" s="20" t="s">
        <v>200</v>
      </c>
      <c r="B96" s="21">
        <v>45745</v>
      </c>
      <c r="C96" s="20" t="s">
        <v>25</v>
      </c>
      <c r="D96" s="20" t="s">
        <v>26</v>
      </c>
      <c r="E96" s="20" t="s">
        <v>62</v>
      </c>
      <c r="F96" s="20" t="s">
        <v>28</v>
      </c>
      <c r="G96" s="20" t="s">
        <v>29</v>
      </c>
      <c r="H96" s="20" t="s">
        <v>87</v>
      </c>
      <c r="I96" s="20" t="s">
        <v>49</v>
      </c>
      <c r="J96" s="20" t="s">
        <v>106</v>
      </c>
      <c r="K96" s="20" t="s">
        <v>107</v>
      </c>
      <c r="L96" s="20" t="s">
        <v>60</v>
      </c>
      <c r="M96" s="20">
        <v>89835</v>
      </c>
      <c r="N96" s="20">
        <v>2775</v>
      </c>
      <c r="O96" s="27">
        <v>3.09</v>
      </c>
      <c r="P96" s="22">
        <v>2.5600000000000001E-2</v>
      </c>
      <c r="Q96" s="20">
        <v>71</v>
      </c>
      <c r="R96" s="23">
        <v>9125.69</v>
      </c>
      <c r="S96" s="20">
        <v>3.29</v>
      </c>
      <c r="T96" s="20">
        <v>128.53</v>
      </c>
      <c r="U96" s="23">
        <v>7262.22</v>
      </c>
      <c r="V96" s="22">
        <v>-0.20419999999999999</v>
      </c>
      <c r="W96" s="22">
        <v>0.10539999999999999</v>
      </c>
      <c r="X96" s="20" t="s">
        <v>51</v>
      </c>
    </row>
    <row r="97" spans="1:24" x14ac:dyDescent="0.25">
      <c r="A97" s="20" t="s">
        <v>201</v>
      </c>
      <c r="B97" s="21">
        <v>45692</v>
      </c>
      <c r="C97" s="20" t="s">
        <v>37</v>
      </c>
      <c r="D97" s="20" t="s">
        <v>26</v>
      </c>
      <c r="E97" s="20" t="s">
        <v>62</v>
      </c>
      <c r="F97" s="20" t="s">
        <v>152</v>
      </c>
      <c r="G97" s="20" t="s">
        <v>56</v>
      </c>
      <c r="H97" s="20" t="s">
        <v>71</v>
      </c>
      <c r="I97" s="20" t="s">
        <v>49</v>
      </c>
      <c r="J97" s="20" t="s">
        <v>106</v>
      </c>
      <c r="K97" s="20" t="s">
        <v>107</v>
      </c>
      <c r="L97" s="20" t="s">
        <v>60</v>
      </c>
      <c r="M97" s="20">
        <v>353212</v>
      </c>
      <c r="N97" s="20">
        <v>3496</v>
      </c>
      <c r="O97" s="27">
        <v>0.99</v>
      </c>
      <c r="P97" s="22">
        <v>0.1055</v>
      </c>
      <c r="Q97" s="20">
        <v>368</v>
      </c>
      <c r="R97" s="23">
        <v>228773.38</v>
      </c>
      <c r="S97" s="20">
        <v>65.44</v>
      </c>
      <c r="T97" s="20">
        <v>621.66999999999996</v>
      </c>
      <c r="U97" s="23">
        <v>657014.27</v>
      </c>
      <c r="V97" s="22">
        <v>1.8718999999999999</v>
      </c>
      <c r="W97" s="22">
        <v>2.0500000000000001E-2</v>
      </c>
      <c r="X97" s="20" t="s">
        <v>35</v>
      </c>
    </row>
    <row r="98" spans="1:24" x14ac:dyDescent="0.25">
      <c r="A98" s="20" t="s">
        <v>202</v>
      </c>
      <c r="B98" s="21">
        <v>45715</v>
      </c>
      <c r="C98" s="20" t="s">
        <v>37</v>
      </c>
      <c r="D98" s="20" t="s">
        <v>26</v>
      </c>
      <c r="E98" s="20" t="s">
        <v>62</v>
      </c>
      <c r="F98" s="20" t="s">
        <v>152</v>
      </c>
      <c r="G98" s="20" t="s">
        <v>29</v>
      </c>
      <c r="H98" s="20" t="s">
        <v>57</v>
      </c>
      <c r="I98" s="20" t="s">
        <v>72</v>
      </c>
      <c r="J98" s="20" t="s">
        <v>121</v>
      </c>
      <c r="K98" s="20" t="s">
        <v>74</v>
      </c>
      <c r="L98" s="20" t="s">
        <v>75</v>
      </c>
      <c r="M98" s="20">
        <v>74548</v>
      </c>
      <c r="N98" s="20">
        <v>916</v>
      </c>
      <c r="O98" s="27">
        <v>1.23</v>
      </c>
      <c r="P98" s="22">
        <v>9.3299999999999994E-2</v>
      </c>
      <c r="Q98" s="20">
        <v>85</v>
      </c>
      <c r="R98" s="23">
        <v>52838.37</v>
      </c>
      <c r="S98" s="20">
        <v>57.68</v>
      </c>
      <c r="T98" s="20">
        <v>621.63</v>
      </c>
      <c r="U98" s="23">
        <v>75770.22</v>
      </c>
      <c r="V98" s="22">
        <v>0.434</v>
      </c>
      <c r="W98" s="22">
        <v>6.6400000000000001E-2</v>
      </c>
      <c r="X98" s="20" t="s">
        <v>35</v>
      </c>
    </row>
    <row r="99" spans="1:24" x14ac:dyDescent="0.25">
      <c r="A99" s="20" t="s">
        <v>203</v>
      </c>
      <c r="B99" s="21">
        <v>45789</v>
      </c>
      <c r="C99" s="20" t="s">
        <v>120</v>
      </c>
      <c r="D99" s="20" t="s">
        <v>79</v>
      </c>
      <c r="E99" s="20" t="s">
        <v>62</v>
      </c>
      <c r="F99" s="20" t="s">
        <v>152</v>
      </c>
      <c r="G99" s="20" t="s">
        <v>56</v>
      </c>
      <c r="H99" s="20" t="s">
        <v>57</v>
      </c>
      <c r="I99" s="20" t="s">
        <v>49</v>
      </c>
      <c r="J99" s="20" t="s">
        <v>96</v>
      </c>
      <c r="K99" s="20" t="s">
        <v>97</v>
      </c>
      <c r="L99" s="20" t="s">
        <v>43</v>
      </c>
      <c r="M99" s="20">
        <v>254604</v>
      </c>
      <c r="N99" s="20">
        <v>17542</v>
      </c>
      <c r="O99" s="27">
        <v>6.89</v>
      </c>
      <c r="P99" s="22">
        <v>7.8E-2</v>
      </c>
      <c r="Q99" s="20">
        <v>1368</v>
      </c>
      <c r="R99" s="23">
        <v>9683.3799999999992</v>
      </c>
      <c r="S99" s="20">
        <v>0.55000000000000004</v>
      </c>
      <c r="T99" s="20">
        <v>7.08</v>
      </c>
      <c r="U99" s="23">
        <v>15974.67</v>
      </c>
      <c r="V99" s="22">
        <v>0.64970000000000006</v>
      </c>
      <c r="W99" s="22">
        <v>6.83E-2</v>
      </c>
      <c r="X99" s="20" t="s">
        <v>51</v>
      </c>
    </row>
    <row r="100" spans="1:24" x14ac:dyDescent="0.25">
      <c r="A100" s="20" t="s">
        <v>204</v>
      </c>
      <c r="B100" s="21">
        <v>45835</v>
      </c>
      <c r="C100" s="20" t="s">
        <v>95</v>
      </c>
      <c r="D100" s="20" t="s">
        <v>79</v>
      </c>
      <c r="E100" s="20" t="s">
        <v>66</v>
      </c>
      <c r="F100" s="20" t="s">
        <v>55</v>
      </c>
      <c r="G100" s="20" t="s">
        <v>63</v>
      </c>
      <c r="H100" s="20" t="s">
        <v>30</v>
      </c>
      <c r="I100" s="20" t="s">
        <v>31</v>
      </c>
      <c r="J100" s="20" t="s">
        <v>110</v>
      </c>
      <c r="K100" s="20" t="s">
        <v>111</v>
      </c>
      <c r="L100" s="20" t="s">
        <v>112</v>
      </c>
      <c r="M100" s="20">
        <v>457061</v>
      </c>
      <c r="N100" s="20">
        <v>30668</v>
      </c>
      <c r="O100" s="27">
        <v>6.71</v>
      </c>
      <c r="P100" s="22">
        <v>7.3200000000000001E-2</v>
      </c>
      <c r="Q100" s="20">
        <v>2244</v>
      </c>
      <c r="R100" s="23">
        <v>73203.199999999997</v>
      </c>
      <c r="S100" s="20">
        <v>2.39</v>
      </c>
      <c r="T100" s="20">
        <v>32.619999999999997</v>
      </c>
      <c r="U100" s="23">
        <v>124657.73</v>
      </c>
      <c r="V100" s="22">
        <v>0.70289999999999997</v>
      </c>
      <c r="W100" s="22">
        <v>8.09E-2</v>
      </c>
      <c r="X100" s="20" t="s">
        <v>35</v>
      </c>
    </row>
    <row r="101" spans="1:24" x14ac:dyDescent="0.25">
      <c r="A101" s="20" t="s">
        <v>205</v>
      </c>
      <c r="B101" s="21">
        <v>45685</v>
      </c>
      <c r="C101" s="20" t="s">
        <v>37</v>
      </c>
      <c r="D101" s="20" t="s">
        <v>26</v>
      </c>
      <c r="E101" s="20" t="s">
        <v>47</v>
      </c>
      <c r="F101" s="20" t="s">
        <v>125</v>
      </c>
      <c r="G101" s="20" t="s">
        <v>29</v>
      </c>
      <c r="H101" s="20" t="s">
        <v>64</v>
      </c>
      <c r="I101" s="20" t="s">
        <v>49</v>
      </c>
      <c r="J101" s="20" t="s">
        <v>58</v>
      </c>
      <c r="K101" s="20" t="s">
        <v>59</v>
      </c>
      <c r="L101" s="20" t="s">
        <v>60</v>
      </c>
      <c r="M101" s="20">
        <v>437715</v>
      </c>
      <c r="N101" s="20">
        <v>8229</v>
      </c>
      <c r="O101" s="27">
        <v>1.88</v>
      </c>
      <c r="P101" s="22">
        <v>6.4399999999999999E-2</v>
      </c>
      <c r="Q101" s="20">
        <v>529</v>
      </c>
      <c r="R101" s="23">
        <v>88102.05</v>
      </c>
      <c r="S101" s="20">
        <v>10.71</v>
      </c>
      <c r="T101" s="20">
        <v>166.54</v>
      </c>
      <c r="U101" s="23">
        <v>230228.28</v>
      </c>
      <c r="V101" s="22">
        <v>1.6132</v>
      </c>
      <c r="W101" s="22">
        <v>4.2799999999999998E-2</v>
      </c>
      <c r="X101" s="20" t="s">
        <v>76</v>
      </c>
    </row>
    <row r="102" spans="1:24" x14ac:dyDescent="0.25">
      <c r="A102" s="20" t="s">
        <v>206</v>
      </c>
      <c r="B102" s="21">
        <v>45803</v>
      </c>
      <c r="C102" s="20" t="s">
        <v>78</v>
      </c>
      <c r="D102" s="20" t="s">
        <v>79</v>
      </c>
      <c r="E102" s="20" t="s">
        <v>66</v>
      </c>
      <c r="F102" s="20" t="s">
        <v>55</v>
      </c>
      <c r="G102" s="20" t="s">
        <v>83</v>
      </c>
      <c r="H102" s="20" t="s">
        <v>71</v>
      </c>
      <c r="I102" s="20" t="s">
        <v>31</v>
      </c>
      <c r="J102" s="20" t="s">
        <v>50</v>
      </c>
      <c r="K102" s="20" t="s">
        <v>50</v>
      </c>
      <c r="L102" s="20" t="s">
        <v>43</v>
      </c>
      <c r="M102" s="20">
        <v>407029</v>
      </c>
      <c r="N102" s="20">
        <v>4518</v>
      </c>
      <c r="O102" s="27">
        <v>1.1100000000000001</v>
      </c>
      <c r="P102" s="22">
        <v>9.6699999999999994E-2</v>
      </c>
      <c r="Q102" s="20">
        <v>436</v>
      </c>
      <c r="R102" s="23">
        <v>174895.27</v>
      </c>
      <c r="S102" s="20">
        <v>38.71</v>
      </c>
      <c r="T102" s="20">
        <v>401.14</v>
      </c>
      <c r="U102" s="23">
        <v>438969.64</v>
      </c>
      <c r="V102" s="22">
        <v>1.5099</v>
      </c>
      <c r="W102" s="22">
        <v>9.6100000000000005E-2</v>
      </c>
      <c r="X102" s="20" t="s">
        <v>51</v>
      </c>
    </row>
    <row r="103" spans="1:24" x14ac:dyDescent="0.25">
      <c r="A103" s="20" t="s">
        <v>207</v>
      </c>
      <c r="B103" s="21">
        <v>45863</v>
      </c>
      <c r="C103" s="20" t="s">
        <v>70</v>
      </c>
      <c r="D103" s="20" t="s">
        <v>54</v>
      </c>
      <c r="E103" s="20" t="s">
        <v>66</v>
      </c>
      <c r="F103" s="20" t="s">
        <v>55</v>
      </c>
      <c r="G103" s="20" t="s">
        <v>83</v>
      </c>
      <c r="H103" s="20" t="s">
        <v>87</v>
      </c>
      <c r="I103" s="20" t="s">
        <v>72</v>
      </c>
      <c r="J103" s="20" t="s">
        <v>134</v>
      </c>
      <c r="K103" s="20" t="s">
        <v>135</v>
      </c>
      <c r="L103" s="20" t="s">
        <v>34</v>
      </c>
      <c r="M103" s="20">
        <v>163933</v>
      </c>
      <c r="N103" s="20">
        <v>4049</v>
      </c>
      <c r="O103" s="27">
        <v>2.4700000000000002</v>
      </c>
      <c r="P103" s="22">
        <v>0.1091</v>
      </c>
      <c r="Q103" s="20">
        <v>441</v>
      </c>
      <c r="R103" s="23">
        <v>126295.16</v>
      </c>
      <c r="S103" s="20">
        <v>31.19</v>
      </c>
      <c r="T103" s="20">
        <v>286.38</v>
      </c>
      <c r="U103" s="23">
        <v>198586.51</v>
      </c>
      <c r="V103" s="22">
        <v>0.57240000000000002</v>
      </c>
      <c r="W103" s="22">
        <v>0.13320000000000001</v>
      </c>
      <c r="X103" s="20" t="s">
        <v>35</v>
      </c>
    </row>
    <row r="104" spans="1:24" x14ac:dyDescent="0.25">
      <c r="A104" s="20" t="s">
        <v>208</v>
      </c>
      <c r="B104" s="21">
        <v>45893</v>
      </c>
      <c r="C104" s="20" t="s">
        <v>25</v>
      </c>
      <c r="D104" s="20" t="s">
        <v>26</v>
      </c>
      <c r="E104" s="20" t="s">
        <v>85</v>
      </c>
      <c r="F104" s="20" t="s">
        <v>86</v>
      </c>
      <c r="G104" s="20" t="s">
        <v>56</v>
      </c>
      <c r="H104" s="20" t="s">
        <v>30</v>
      </c>
      <c r="I104" s="20" t="s">
        <v>72</v>
      </c>
      <c r="J104" s="20" t="s">
        <v>96</v>
      </c>
      <c r="K104" s="20" t="s">
        <v>97</v>
      </c>
      <c r="L104" s="20" t="s">
        <v>43</v>
      </c>
      <c r="M104" s="20">
        <v>86435</v>
      </c>
      <c r="N104" s="20">
        <v>6059</v>
      </c>
      <c r="O104" s="27">
        <v>7.01</v>
      </c>
      <c r="P104" s="22">
        <v>5.9499999999999997E-2</v>
      </c>
      <c r="Q104" s="20">
        <v>360</v>
      </c>
      <c r="R104" s="23">
        <v>139326.51999999999</v>
      </c>
      <c r="S104" s="20">
        <v>22.99</v>
      </c>
      <c r="T104" s="20">
        <v>387.02</v>
      </c>
      <c r="U104" s="23">
        <v>201145.7</v>
      </c>
      <c r="V104" s="22">
        <v>0.44369999999999998</v>
      </c>
      <c r="W104" s="22">
        <v>7.22E-2</v>
      </c>
      <c r="X104" s="20" t="s">
        <v>51</v>
      </c>
    </row>
    <row r="105" spans="1:24" x14ac:dyDescent="0.25">
      <c r="A105" s="20" t="s">
        <v>209</v>
      </c>
      <c r="B105" s="21">
        <v>45789</v>
      </c>
      <c r="C105" s="20" t="s">
        <v>45</v>
      </c>
      <c r="D105" s="20" t="s">
        <v>46</v>
      </c>
      <c r="E105" s="20" t="s">
        <v>80</v>
      </c>
      <c r="F105" s="20" t="s">
        <v>81</v>
      </c>
      <c r="G105" s="20" t="s">
        <v>56</v>
      </c>
      <c r="H105" s="20" t="s">
        <v>64</v>
      </c>
      <c r="I105" s="20" t="s">
        <v>49</v>
      </c>
      <c r="J105" s="20" t="s">
        <v>106</v>
      </c>
      <c r="K105" s="20" t="s">
        <v>107</v>
      </c>
      <c r="L105" s="20" t="s">
        <v>60</v>
      </c>
      <c r="M105" s="20">
        <v>370200</v>
      </c>
      <c r="N105" s="20">
        <v>8440</v>
      </c>
      <c r="O105" s="27">
        <v>2.2799999999999998</v>
      </c>
      <c r="P105" s="22">
        <v>3.1099999999999999E-2</v>
      </c>
      <c r="Q105" s="20">
        <v>262</v>
      </c>
      <c r="R105" s="23">
        <v>76773.91</v>
      </c>
      <c r="S105" s="20">
        <v>9.1</v>
      </c>
      <c r="T105" s="20">
        <v>293.02999999999997</v>
      </c>
      <c r="U105" s="23">
        <v>177908.18</v>
      </c>
      <c r="V105" s="22">
        <v>1.3172999999999999</v>
      </c>
      <c r="W105" s="22">
        <v>0.1273</v>
      </c>
      <c r="X105" s="20" t="s">
        <v>35</v>
      </c>
    </row>
    <row r="106" spans="1:24" x14ac:dyDescent="0.25">
      <c r="A106" s="20" t="s">
        <v>210</v>
      </c>
      <c r="B106" s="21">
        <v>45737</v>
      </c>
      <c r="C106" s="20" t="s">
        <v>78</v>
      </c>
      <c r="D106" s="20" t="s">
        <v>79</v>
      </c>
      <c r="E106" s="20" t="s">
        <v>66</v>
      </c>
      <c r="F106" s="20" t="s">
        <v>67</v>
      </c>
      <c r="G106" s="20" t="s">
        <v>63</v>
      </c>
      <c r="H106" s="20" t="s">
        <v>30</v>
      </c>
      <c r="I106" s="20" t="s">
        <v>72</v>
      </c>
      <c r="J106" s="20" t="s">
        <v>88</v>
      </c>
      <c r="K106" s="20" t="s">
        <v>89</v>
      </c>
      <c r="L106" s="20" t="s">
        <v>34</v>
      </c>
      <c r="M106" s="20">
        <v>128843</v>
      </c>
      <c r="N106" s="20">
        <v>3813</v>
      </c>
      <c r="O106" s="27">
        <v>2.96</v>
      </c>
      <c r="P106" s="22">
        <v>3.0800000000000001E-2</v>
      </c>
      <c r="Q106" s="20">
        <v>117</v>
      </c>
      <c r="R106" s="23">
        <v>243836.76</v>
      </c>
      <c r="S106" s="20">
        <v>63.95</v>
      </c>
      <c r="T106" s="20">
        <v>2084.0700000000002</v>
      </c>
      <c r="U106" s="23">
        <v>579380.53</v>
      </c>
      <c r="V106" s="22">
        <v>1.3761000000000001</v>
      </c>
      <c r="W106" s="22">
        <v>1.9800000000000002E-2</v>
      </c>
      <c r="X106" s="20" t="s">
        <v>76</v>
      </c>
    </row>
    <row r="107" spans="1:24" x14ac:dyDescent="0.25">
      <c r="A107" s="20" t="s">
        <v>211</v>
      </c>
      <c r="B107" s="21">
        <v>45710</v>
      </c>
      <c r="C107" s="20" t="s">
        <v>78</v>
      </c>
      <c r="D107" s="20" t="s">
        <v>79</v>
      </c>
      <c r="E107" s="20" t="s">
        <v>27</v>
      </c>
      <c r="F107" s="20" t="s">
        <v>28</v>
      </c>
      <c r="G107" s="20" t="s">
        <v>40</v>
      </c>
      <c r="H107" s="20" t="s">
        <v>57</v>
      </c>
      <c r="I107" s="20" t="s">
        <v>49</v>
      </c>
      <c r="J107" s="20" t="s">
        <v>127</v>
      </c>
      <c r="K107" s="20" t="s">
        <v>128</v>
      </c>
      <c r="L107" s="20" t="s">
        <v>60</v>
      </c>
      <c r="M107" s="20">
        <v>233024</v>
      </c>
      <c r="N107" s="20">
        <v>5942</v>
      </c>
      <c r="O107" s="27">
        <v>2.5499999999999998</v>
      </c>
      <c r="P107" s="22">
        <v>2.1999999999999999E-2</v>
      </c>
      <c r="Q107" s="20">
        <v>130</v>
      </c>
      <c r="R107" s="23">
        <v>228027.82</v>
      </c>
      <c r="S107" s="20">
        <v>38.380000000000003</v>
      </c>
      <c r="T107" s="20">
        <v>1754.06</v>
      </c>
      <c r="U107" s="23">
        <v>306902.64</v>
      </c>
      <c r="V107" s="22">
        <v>0.34589999999999999</v>
      </c>
      <c r="W107" s="22">
        <v>0.13339999999999999</v>
      </c>
      <c r="X107" s="20" t="s">
        <v>51</v>
      </c>
    </row>
    <row r="108" spans="1:24" x14ac:dyDescent="0.25">
      <c r="A108" s="20" t="s">
        <v>212</v>
      </c>
      <c r="B108" s="21">
        <v>45664</v>
      </c>
      <c r="C108" s="20" t="s">
        <v>70</v>
      </c>
      <c r="D108" s="20" t="s">
        <v>54</v>
      </c>
      <c r="E108" s="20" t="s">
        <v>38</v>
      </c>
      <c r="F108" s="20" t="s">
        <v>114</v>
      </c>
      <c r="G108" s="20" t="s">
        <v>40</v>
      </c>
      <c r="H108" s="20" t="s">
        <v>30</v>
      </c>
      <c r="I108" s="20" t="s">
        <v>49</v>
      </c>
      <c r="J108" s="20" t="s">
        <v>127</v>
      </c>
      <c r="K108" s="20" t="s">
        <v>128</v>
      </c>
      <c r="L108" s="20" t="s">
        <v>60</v>
      </c>
      <c r="M108" s="20">
        <v>247891</v>
      </c>
      <c r="N108" s="20">
        <v>1660</v>
      </c>
      <c r="O108" s="27">
        <v>0.67</v>
      </c>
      <c r="P108" s="22">
        <v>3.8300000000000001E-2</v>
      </c>
      <c r="Q108" s="20">
        <v>63</v>
      </c>
      <c r="R108" s="23">
        <v>185083.62</v>
      </c>
      <c r="S108" s="20">
        <v>111.5</v>
      </c>
      <c r="T108" s="20">
        <v>2937.84</v>
      </c>
      <c r="U108" s="23">
        <v>131909.1</v>
      </c>
      <c r="V108" s="22">
        <v>-0.2873</v>
      </c>
      <c r="W108" s="22">
        <v>4.0099999999999997E-2</v>
      </c>
      <c r="X108" s="20" t="s">
        <v>51</v>
      </c>
    </row>
    <row r="109" spans="1:24" x14ac:dyDescent="0.25">
      <c r="A109" s="20" t="s">
        <v>213</v>
      </c>
      <c r="B109" s="21">
        <v>45951</v>
      </c>
      <c r="C109" s="20" t="s">
        <v>45</v>
      </c>
      <c r="D109" s="20" t="s">
        <v>46</v>
      </c>
      <c r="E109" s="20" t="s">
        <v>66</v>
      </c>
      <c r="F109" s="20" t="s">
        <v>67</v>
      </c>
      <c r="G109" s="20" t="s">
        <v>40</v>
      </c>
      <c r="H109" s="20" t="s">
        <v>30</v>
      </c>
      <c r="I109" s="20" t="s">
        <v>31</v>
      </c>
      <c r="J109" s="20" t="s">
        <v>50</v>
      </c>
      <c r="K109" s="20" t="s">
        <v>50</v>
      </c>
      <c r="L109" s="20" t="s">
        <v>43</v>
      </c>
      <c r="M109" s="20">
        <v>100160</v>
      </c>
      <c r="N109" s="20">
        <v>5318</v>
      </c>
      <c r="O109" s="27">
        <v>5.31</v>
      </c>
      <c r="P109" s="22">
        <v>5.9900000000000002E-2</v>
      </c>
      <c r="Q109" s="20">
        <v>318</v>
      </c>
      <c r="R109" s="23">
        <v>79627.539999999994</v>
      </c>
      <c r="S109" s="20">
        <v>14.97</v>
      </c>
      <c r="T109" s="20">
        <v>250.4</v>
      </c>
      <c r="U109" s="23">
        <v>170801.07</v>
      </c>
      <c r="V109" s="22">
        <v>1.145</v>
      </c>
      <c r="W109" s="22">
        <v>1.9199999999999998E-2</v>
      </c>
      <c r="X109" s="20" t="s">
        <v>51</v>
      </c>
    </row>
    <row r="110" spans="1:24" x14ac:dyDescent="0.25">
      <c r="A110" s="20" t="s">
        <v>214</v>
      </c>
      <c r="B110" s="21">
        <v>45862</v>
      </c>
      <c r="C110" s="20" t="s">
        <v>25</v>
      </c>
      <c r="D110" s="20" t="s">
        <v>26</v>
      </c>
      <c r="E110" s="20" t="s">
        <v>47</v>
      </c>
      <c r="F110" s="20" t="s">
        <v>125</v>
      </c>
      <c r="G110" s="20" t="s">
        <v>83</v>
      </c>
      <c r="H110" s="20" t="s">
        <v>64</v>
      </c>
      <c r="I110" s="20" t="s">
        <v>31</v>
      </c>
      <c r="J110" s="20" t="s">
        <v>41</v>
      </c>
      <c r="K110" s="20" t="s">
        <v>42</v>
      </c>
      <c r="L110" s="20" t="s">
        <v>43</v>
      </c>
      <c r="M110" s="20">
        <v>455120</v>
      </c>
      <c r="N110" s="20">
        <v>16247</v>
      </c>
      <c r="O110" s="27">
        <v>3.57</v>
      </c>
      <c r="P110" s="22">
        <v>8.43E-2</v>
      </c>
      <c r="Q110" s="20">
        <v>1369</v>
      </c>
      <c r="R110" s="23">
        <v>232688.95</v>
      </c>
      <c r="S110" s="20">
        <v>14.32</v>
      </c>
      <c r="T110" s="20">
        <v>169.97</v>
      </c>
      <c r="U110" s="23">
        <v>260844.31</v>
      </c>
      <c r="V110" s="22">
        <v>0.121</v>
      </c>
      <c r="W110" s="22">
        <v>9.9900000000000003E-2</v>
      </c>
      <c r="X110" s="20" t="s">
        <v>51</v>
      </c>
    </row>
    <row r="111" spans="1:24" x14ac:dyDescent="0.25">
      <c r="A111" s="20" t="s">
        <v>215</v>
      </c>
      <c r="B111" s="21">
        <v>45857</v>
      </c>
      <c r="C111" s="20" t="s">
        <v>95</v>
      </c>
      <c r="D111" s="20" t="s">
        <v>79</v>
      </c>
      <c r="E111" s="20" t="s">
        <v>62</v>
      </c>
      <c r="F111" s="20" t="s">
        <v>28</v>
      </c>
      <c r="G111" s="20" t="s">
        <v>56</v>
      </c>
      <c r="H111" s="20" t="s">
        <v>30</v>
      </c>
      <c r="I111" s="20" t="s">
        <v>31</v>
      </c>
      <c r="J111" s="20" t="s">
        <v>88</v>
      </c>
      <c r="K111" s="20" t="s">
        <v>89</v>
      </c>
      <c r="L111" s="20" t="s">
        <v>34</v>
      </c>
      <c r="M111" s="20">
        <v>380503</v>
      </c>
      <c r="N111" s="20">
        <v>24199</v>
      </c>
      <c r="O111" s="27">
        <v>6.36</v>
      </c>
      <c r="P111" s="22">
        <v>0.1135</v>
      </c>
      <c r="Q111" s="20">
        <v>2746</v>
      </c>
      <c r="R111" s="23">
        <v>130766.55</v>
      </c>
      <c r="S111" s="20">
        <v>5.4</v>
      </c>
      <c r="T111" s="20">
        <v>47.62</v>
      </c>
      <c r="U111" s="23">
        <v>121939.81</v>
      </c>
      <c r="V111" s="22">
        <v>-6.7500000000000004E-2</v>
      </c>
      <c r="W111" s="22">
        <v>8.8300000000000003E-2</v>
      </c>
      <c r="X111" s="20" t="s">
        <v>51</v>
      </c>
    </row>
    <row r="112" spans="1:24" x14ac:dyDescent="0.25">
      <c r="A112" s="20" t="s">
        <v>216</v>
      </c>
      <c r="B112" s="21">
        <v>45901</v>
      </c>
      <c r="C112" s="20" t="s">
        <v>99</v>
      </c>
      <c r="D112" s="20" t="s">
        <v>46</v>
      </c>
      <c r="E112" s="20" t="s">
        <v>62</v>
      </c>
      <c r="F112" s="20" t="s">
        <v>152</v>
      </c>
      <c r="G112" s="20" t="s">
        <v>56</v>
      </c>
      <c r="H112" s="20" t="s">
        <v>30</v>
      </c>
      <c r="I112" s="20" t="s">
        <v>72</v>
      </c>
      <c r="J112" s="20" t="s">
        <v>73</v>
      </c>
      <c r="K112" s="20" t="s">
        <v>74</v>
      </c>
      <c r="L112" s="20" t="s">
        <v>75</v>
      </c>
      <c r="M112" s="20">
        <v>394079</v>
      </c>
      <c r="N112" s="20">
        <v>29989</v>
      </c>
      <c r="O112" s="27">
        <v>7.61</v>
      </c>
      <c r="P112" s="22">
        <v>3.3099999999999997E-2</v>
      </c>
      <c r="Q112" s="20">
        <v>992</v>
      </c>
      <c r="R112" s="23">
        <v>171721.35</v>
      </c>
      <c r="S112" s="20">
        <v>5.73</v>
      </c>
      <c r="T112" s="20">
        <v>173.11</v>
      </c>
      <c r="U112" s="23">
        <v>275217.81</v>
      </c>
      <c r="V112" s="22">
        <v>0.60270000000000001</v>
      </c>
      <c r="W112" s="22">
        <v>0.11559999999999999</v>
      </c>
      <c r="X112" s="20" t="s">
        <v>35</v>
      </c>
    </row>
    <row r="113" spans="1:24" x14ac:dyDescent="0.25">
      <c r="A113" s="20" t="s">
        <v>217</v>
      </c>
      <c r="B113" s="21">
        <v>45840</v>
      </c>
      <c r="C113" s="20" t="s">
        <v>37</v>
      </c>
      <c r="D113" s="20" t="s">
        <v>26</v>
      </c>
      <c r="E113" s="20" t="s">
        <v>47</v>
      </c>
      <c r="F113" s="20" t="s">
        <v>125</v>
      </c>
      <c r="G113" s="20" t="s">
        <v>83</v>
      </c>
      <c r="H113" s="20" t="s">
        <v>64</v>
      </c>
      <c r="I113" s="20" t="s">
        <v>31</v>
      </c>
      <c r="J113" s="20" t="s">
        <v>130</v>
      </c>
      <c r="K113" s="20" t="s">
        <v>130</v>
      </c>
      <c r="L113" s="20" t="s">
        <v>43</v>
      </c>
      <c r="M113" s="20">
        <v>44418</v>
      </c>
      <c r="N113" s="20">
        <v>1616</v>
      </c>
      <c r="O113" s="27">
        <v>3.64</v>
      </c>
      <c r="P113" s="22">
        <v>5.6300000000000003E-2</v>
      </c>
      <c r="Q113" s="20">
        <v>90</v>
      </c>
      <c r="R113" s="23">
        <v>175166.67</v>
      </c>
      <c r="S113" s="20">
        <v>108.4</v>
      </c>
      <c r="T113" s="20">
        <v>1946.3</v>
      </c>
      <c r="U113" s="23">
        <v>264484.15999999997</v>
      </c>
      <c r="V113" s="22">
        <v>0.50990000000000002</v>
      </c>
      <c r="W113" s="22">
        <v>4.3400000000000001E-2</v>
      </c>
      <c r="X113" s="20" t="s">
        <v>35</v>
      </c>
    </row>
    <row r="114" spans="1:24" x14ac:dyDescent="0.25">
      <c r="A114" s="20" t="s">
        <v>218</v>
      </c>
      <c r="B114" s="21">
        <v>45863</v>
      </c>
      <c r="C114" s="20" t="s">
        <v>99</v>
      </c>
      <c r="D114" s="20" t="s">
        <v>46</v>
      </c>
      <c r="E114" s="20" t="s">
        <v>80</v>
      </c>
      <c r="F114" s="20" t="s">
        <v>123</v>
      </c>
      <c r="G114" s="20" t="s">
        <v>83</v>
      </c>
      <c r="H114" s="20" t="s">
        <v>71</v>
      </c>
      <c r="I114" s="20" t="s">
        <v>31</v>
      </c>
      <c r="J114" s="20" t="s">
        <v>88</v>
      </c>
      <c r="K114" s="20" t="s">
        <v>89</v>
      </c>
      <c r="L114" s="20" t="s">
        <v>34</v>
      </c>
      <c r="M114" s="20">
        <v>492283</v>
      </c>
      <c r="N114" s="20">
        <v>31112</v>
      </c>
      <c r="O114" s="27">
        <v>6.32</v>
      </c>
      <c r="P114" s="22">
        <v>9.9099999999999994E-2</v>
      </c>
      <c r="Q114" s="20">
        <v>3083</v>
      </c>
      <c r="R114" s="23">
        <v>159306.01</v>
      </c>
      <c r="S114" s="20">
        <v>5.12</v>
      </c>
      <c r="T114" s="20">
        <v>51.67</v>
      </c>
      <c r="U114" s="23">
        <v>283421.32</v>
      </c>
      <c r="V114" s="22">
        <v>0.77910000000000001</v>
      </c>
      <c r="W114" s="22">
        <v>8.6499999999999994E-2</v>
      </c>
      <c r="X114" s="20" t="s">
        <v>35</v>
      </c>
    </row>
    <row r="115" spans="1:24" x14ac:dyDescent="0.25">
      <c r="A115" s="20" t="s">
        <v>219</v>
      </c>
      <c r="B115" s="21">
        <v>45732</v>
      </c>
      <c r="C115" s="20" t="s">
        <v>53</v>
      </c>
      <c r="D115" s="20" t="s">
        <v>54</v>
      </c>
      <c r="E115" s="20" t="s">
        <v>66</v>
      </c>
      <c r="F115" s="20" t="s">
        <v>67</v>
      </c>
      <c r="G115" s="20" t="s">
        <v>83</v>
      </c>
      <c r="H115" s="20" t="s">
        <v>57</v>
      </c>
      <c r="I115" s="20" t="s">
        <v>49</v>
      </c>
      <c r="J115" s="20" t="s">
        <v>50</v>
      </c>
      <c r="K115" s="20" t="s">
        <v>50</v>
      </c>
      <c r="L115" s="20" t="s">
        <v>43</v>
      </c>
      <c r="M115" s="20">
        <v>70623</v>
      </c>
      <c r="N115" s="20">
        <v>4484</v>
      </c>
      <c r="O115" s="27">
        <v>6.35</v>
      </c>
      <c r="P115" s="22">
        <v>6.1600000000000002E-2</v>
      </c>
      <c r="Q115" s="20">
        <v>276</v>
      </c>
      <c r="R115" s="23">
        <v>196331.18</v>
      </c>
      <c r="S115" s="20">
        <v>43.78</v>
      </c>
      <c r="T115" s="20">
        <v>711.34</v>
      </c>
      <c r="U115" s="23">
        <v>241487.35</v>
      </c>
      <c r="V115" s="22">
        <v>0.23</v>
      </c>
      <c r="W115" s="22">
        <v>0.1071</v>
      </c>
      <c r="X115" s="20" t="s">
        <v>51</v>
      </c>
    </row>
    <row r="116" spans="1:24" x14ac:dyDescent="0.25">
      <c r="A116" s="20" t="s">
        <v>220</v>
      </c>
      <c r="B116" s="21">
        <v>45876</v>
      </c>
      <c r="C116" s="20" t="s">
        <v>25</v>
      </c>
      <c r="D116" s="20" t="s">
        <v>26</v>
      </c>
      <c r="E116" s="20" t="s">
        <v>27</v>
      </c>
      <c r="F116" s="20" t="s">
        <v>28</v>
      </c>
      <c r="G116" s="20" t="s">
        <v>56</v>
      </c>
      <c r="H116" s="20" t="s">
        <v>57</v>
      </c>
      <c r="I116" s="20" t="s">
        <v>31</v>
      </c>
      <c r="J116" s="20" t="s">
        <v>50</v>
      </c>
      <c r="K116" s="20" t="s">
        <v>50</v>
      </c>
      <c r="L116" s="20" t="s">
        <v>43</v>
      </c>
      <c r="M116" s="20">
        <v>163240</v>
      </c>
      <c r="N116" s="20">
        <v>4733</v>
      </c>
      <c r="O116" s="27">
        <v>2.9</v>
      </c>
      <c r="P116" s="22">
        <v>6.3299999999999995E-2</v>
      </c>
      <c r="Q116" s="20">
        <v>299</v>
      </c>
      <c r="R116" s="23">
        <v>156594.26</v>
      </c>
      <c r="S116" s="20">
        <v>33.090000000000003</v>
      </c>
      <c r="T116" s="20">
        <v>523.73</v>
      </c>
      <c r="U116" s="23">
        <v>140386.75</v>
      </c>
      <c r="V116" s="22">
        <v>-0.10349999999999999</v>
      </c>
      <c r="W116" s="22">
        <v>0.1351</v>
      </c>
      <c r="X116" s="20" t="s">
        <v>35</v>
      </c>
    </row>
    <row r="117" spans="1:24" x14ac:dyDescent="0.25">
      <c r="A117" s="20" t="s">
        <v>221</v>
      </c>
      <c r="B117" s="21">
        <v>45813</v>
      </c>
      <c r="C117" s="20" t="s">
        <v>70</v>
      </c>
      <c r="D117" s="20" t="s">
        <v>54</v>
      </c>
      <c r="E117" s="20" t="s">
        <v>62</v>
      </c>
      <c r="F117" s="20" t="s">
        <v>28</v>
      </c>
      <c r="G117" s="20" t="s">
        <v>63</v>
      </c>
      <c r="H117" s="20" t="s">
        <v>57</v>
      </c>
      <c r="I117" s="20" t="s">
        <v>31</v>
      </c>
      <c r="J117" s="20" t="s">
        <v>96</v>
      </c>
      <c r="K117" s="20" t="s">
        <v>97</v>
      </c>
      <c r="L117" s="20" t="s">
        <v>43</v>
      </c>
      <c r="M117" s="20">
        <v>440855</v>
      </c>
      <c r="N117" s="20">
        <v>13622</v>
      </c>
      <c r="O117" s="27">
        <v>3.09</v>
      </c>
      <c r="P117" s="22">
        <v>7.4099999999999999E-2</v>
      </c>
      <c r="Q117" s="20">
        <v>1009</v>
      </c>
      <c r="R117" s="23">
        <v>165011.20000000001</v>
      </c>
      <c r="S117" s="20">
        <v>12.11</v>
      </c>
      <c r="T117" s="20">
        <v>163.54</v>
      </c>
      <c r="U117" s="23">
        <v>195109.24</v>
      </c>
      <c r="V117" s="22">
        <v>0.18240000000000001</v>
      </c>
      <c r="W117" s="22">
        <v>1.54E-2</v>
      </c>
      <c r="X117" s="20" t="s">
        <v>35</v>
      </c>
    </row>
    <row r="118" spans="1:24" x14ac:dyDescent="0.25">
      <c r="A118" s="20" t="s">
        <v>222</v>
      </c>
      <c r="B118" s="21">
        <v>45709</v>
      </c>
      <c r="C118" s="20" t="s">
        <v>45</v>
      </c>
      <c r="D118" s="20" t="s">
        <v>46</v>
      </c>
      <c r="E118" s="20" t="s">
        <v>80</v>
      </c>
      <c r="F118" s="20" t="s">
        <v>81</v>
      </c>
      <c r="G118" s="20" t="s">
        <v>40</v>
      </c>
      <c r="H118" s="20" t="s">
        <v>64</v>
      </c>
      <c r="I118" s="20" t="s">
        <v>72</v>
      </c>
      <c r="J118" s="20" t="s">
        <v>58</v>
      </c>
      <c r="K118" s="20" t="s">
        <v>59</v>
      </c>
      <c r="L118" s="20" t="s">
        <v>60</v>
      </c>
      <c r="M118" s="20">
        <v>85044</v>
      </c>
      <c r="N118" s="20">
        <v>1751</v>
      </c>
      <c r="O118" s="27">
        <v>2.06</v>
      </c>
      <c r="P118" s="22">
        <v>5.4300000000000001E-2</v>
      </c>
      <c r="Q118" s="20">
        <v>95</v>
      </c>
      <c r="R118" s="23">
        <v>134561.39000000001</v>
      </c>
      <c r="S118" s="20">
        <v>76.849999999999994</v>
      </c>
      <c r="T118" s="20">
        <v>1416.44</v>
      </c>
      <c r="U118" s="23">
        <v>282834.59000000003</v>
      </c>
      <c r="V118" s="22">
        <v>1.1019000000000001</v>
      </c>
      <c r="W118" s="22">
        <v>0.1048</v>
      </c>
      <c r="X118" s="20" t="s">
        <v>76</v>
      </c>
    </row>
    <row r="119" spans="1:24" x14ac:dyDescent="0.25">
      <c r="A119" s="20" t="s">
        <v>223</v>
      </c>
      <c r="B119" s="21">
        <v>45704</v>
      </c>
      <c r="C119" s="20" t="s">
        <v>99</v>
      </c>
      <c r="D119" s="20" t="s">
        <v>46</v>
      </c>
      <c r="E119" s="20" t="s">
        <v>38</v>
      </c>
      <c r="F119" s="20" t="s">
        <v>114</v>
      </c>
      <c r="G119" s="20" t="s">
        <v>40</v>
      </c>
      <c r="H119" s="20" t="s">
        <v>64</v>
      </c>
      <c r="I119" s="20" t="s">
        <v>49</v>
      </c>
      <c r="J119" s="20" t="s">
        <v>134</v>
      </c>
      <c r="K119" s="20" t="s">
        <v>135</v>
      </c>
      <c r="L119" s="20" t="s">
        <v>34</v>
      </c>
      <c r="M119" s="20">
        <v>283289</v>
      </c>
      <c r="N119" s="20">
        <v>3087</v>
      </c>
      <c r="O119" s="27">
        <v>1.0900000000000001</v>
      </c>
      <c r="P119" s="22">
        <v>0.1023</v>
      </c>
      <c r="Q119" s="20">
        <v>315</v>
      </c>
      <c r="R119" s="23">
        <v>168464.67</v>
      </c>
      <c r="S119" s="20">
        <v>54.57</v>
      </c>
      <c r="T119" s="20">
        <v>534.80999999999995</v>
      </c>
      <c r="U119" s="23">
        <v>163259.10999999999</v>
      </c>
      <c r="V119" s="22">
        <v>-3.09E-2</v>
      </c>
      <c r="W119" s="22">
        <v>2.2200000000000001E-2</v>
      </c>
      <c r="X119" s="20" t="s">
        <v>51</v>
      </c>
    </row>
    <row r="120" spans="1:24" x14ac:dyDescent="0.25">
      <c r="A120" s="20" t="s">
        <v>224</v>
      </c>
      <c r="B120" s="21">
        <v>45729</v>
      </c>
      <c r="C120" s="20" t="s">
        <v>95</v>
      </c>
      <c r="D120" s="20" t="s">
        <v>79</v>
      </c>
      <c r="E120" s="20" t="s">
        <v>27</v>
      </c>
      <c r="F120" s="20" t="s">
        <v>28</v>
      </c>
      <c r="G120" s="20" t="s">
        <v>83</v>
      </c>
      <c r="H120" s="20" t="s">
        <v>64</v>
      </c>
      <c r="I120" s="20" t="s">
        <v>31</v>
      </c>
      <c r="J120" s="20" t="s">
        <v>110</v>
      </c>
      <c r="K120" s="20" t="s">
        <v>111</v>
      </c>
      <c r="L120" s="20" t="s">
        <v>112</v>
      </c>
      <c r="M120" s="20">
        <v>262620</v>
      </c>
      <c r="N120" s="20">
        <v>6171</v>
      </c>
      <c r="O120" s="27">
        <v>2.35</v>
      </c>
      <c r="P120" s="22">
        <v>2.81E-2</v>
      </c>
      <c r="Q120" s="20">
        <v>173</v>
      </c>
      <c r="R120" s="23">
        <v>150701.20000000001</v>
      </c>
      <c r="S120" s="20">
        <v>24.42</v>
      </c>
      <c r="T120" s="20">
        <v>871.11</v>
      </c>
      <c r="U120" s="23">
        <v>360115.59</v>
      </c>
      <c r="V120" s="22">
        <v>1.3895999999999999</v>
      </c>
      <c r="W120" s="22">
        <v>2.8299999999999999E-2</v>
      </c>
      <c r="X120" s="20" t="s">
        <v>51</v>
      </c>
    </row>
    <row r="121" spans="1:24" x14ac:dyDescent="0.25">
      <c r="A121" s="20" t="s">
        <v>225</v>
      </c>
      <c r="B121" s="21">
        <v>45946</v>
      </c>
      <c r="C121" s="20" t="s">
        <v>95</v>
      </c>
      <c r="D121" s="20" t="s">
        <v>79</v>
      </c>
      <c r="E121" s="20" t="s">
        <v>66</v>
      </c>
      <c r="F121" s="20" t="s">
        <v>67</v>
      </c>
      <c r="G121" s="20" t="s">
        <v>83</v>
      </c>
      <c r="H121" s="20" t="s">
        <v>57</v>
      </c>
      <c r="I121" s="20" t="s">
        <v>72</v>
      </c>
      <c r="J121" s="20" t="s">
        <v>73</v>
      </c>
      <c r="K121" s="20" t="s">
        <v>74</v>
      </c>
      <c r="L121" s="20" t="s">
        <v>75</v>
      </c>
      <c r="M121" s="20">
        <v>359390</v>
      </c>
      <c r="N121" s="20">
        <v>3845</v>
      </c>
      <c r="O121" s="27">
        <v>1.07</v>
      </c>
      <c r="P121" s="22">
        <v>8.0100000000000005E-2</v>
      </c>
      <c r="Q121" s="20">
        <v>307</v>
      </c>
      <c r="R121" s="23">
        <v>159759.28</v>
      </c>
      <c r="S121" s="20">
        <v>41.55</v>
      </c>
      <c r="T121" s="20">
        <v>520.39</v>
      </c>
      <c r="U121" s="23">
        <v>122311.7</v>
      </c>
      <c r="V121" s="22">
        <v>-0.2344</v>
      </c>
      <c r="W121" s="22">
        <v>9.3399999999999997E-2</v>
      </c>
      <c r="X121" s="20" t="s">
        <v>51</v>
      </c>
    </row>
    <row r="122" spans="1:24" x14ac:dyDescent="0.25">
      <c r="A122" s="20" t="s">
        <v>226</v>
      </c>
      <c r="B122" s="21">
        <v>45827</v>
      </c>
      <c r="C122" s="20" t="s">
        <v>105</v>
      </c>
      <c r="D122" s="20" t="s">
        <v>46</v>
      </c>
      <c r="E122" s="20" t="s">
        <v>85</v>
      </c>
      <c r="F122" s="20" t="s">
        <v>91</v>
      </c>
      <c r="G122" s="20" t="s">
        <v>83</v>
      </c>
      <c r="H122" s="20" t="s">
        <v>71</v>
      </c>
      <c r="I122" s="20" t="s">
        <v>31</v>
      </c>
      <c r="J122" s="20" t="s">
        <v>134</v>
      </c>
      <c r="K122" s="20" t="s">
        <v>135</v>
      </c>
      <c r="L122" s="20" t="s">
        <v>34</v>
      </c>
      <c r="M122" s="20">
        <v>381535</v>
      </c>
      <c r="N122" s="20">
        <v>13811</v>
      </c>
      <c r="O122" s="27">
        <v>3.62</v>
      </c>
      <c r="P122" s="22">
        <v>2.4E-2</v>
      </c>
      <c r="Q122" s="20">
        <v>331</v>
      </c>
      <c r="R122" s="23">
        <v>25427.4</v>
      </c>
      <c r="S122" s="20">
        <v>1.84</v>
      </c>
      <c r="T122" s="20">
        <v>76.819999999999993</v>
      </c>
      <c r="U122" s="23">
        <v>56342.03</v>
      </c>
      <c r="V122" s="22">
        <v>1.2158</v>
      </c>
      <c r="W122" s="22">
        <v>5.45E-2</v>
      </c>
      <c r="X122" s="20" t="s">
        <v>51</v>
      </c>
    </row>
    <row r="123" spans="1:24" x14ac:dyDescent="0.25">
      <c r="A123" s="20" t="s">
        <v>227</v>
      </c>
      <c r="B123" s="21">
        <v>45941</v>
      </c>
      <c r="C123" s="20" t="s">
        <v>78</v>
      </c>
      <c r="D123" s="20" t="s">
        <v>79</v>
      </c>
      <c r="E123" s="20" t="s">
        <v>47</v>
      </c>
      <c r="F123" s="20" t="s">
        <v>125</v>
      </c>
      <c r="G123" s="20" t="s">
        <v>56</v>
      </c>
      <c r="H123" s="20" t="s">
        <v>64</v>
      </c>
      <c r="I123" s="20" t="s">
        <v>72</v>
      </c>
      <c r="J123" s="20" t="s">
        <v>96</v>
      </c>
      <c r="K123" s="20" t="s">
        <v>97</v>
      </c>
      <c r="L123" s="20" t="s">
        <v>43</v>
      </c>
      <c r="M123" s="20">
        <v>32640</v>
      </c>
      <c r="N123" s="20">
        <v>2186</v>
      </c>
      <c r="O123" s="27">
        <v>6.7</v>
      </c>
      <c r="P123" s="22">
        <v>4.2200000000000001E-2</v>
      </c>
      <c r="Q123" s="20">
        <v>92</v>
      </c>
      <c r="R123" s="23">
        <v>207278.05</v>
      </c>
      <c r="S123" s="20">
        <v>94.82</v>
      </c>
      <c r="T123" s="20">
        <v>2253.02</v>
      </c>
      <c r="U123" s="23">
        <v>337573.03</v>
      </c>
      <c r="V123" s="22">
        <v>0.62860000000000005</v>
      </c>
      <c r="W123" s="22">
        <v>7.8E-2</v>
      </c>
      <c r="X123" s="20" t="s">
        <v>35</v>
      </c>
    </row>
    <row r="124" spans="1:24" x14ac:dyDescent="0.25">
      <c r="A124" s="20" t="s">
        <v>228</v>
      </c>
      <c r="B124" s="21">
        <v>45917</v>
      </c>
      <c r="C124" s="20" t="s">
        <v>53</v>
      </c>
      <c r="D124" s="20" t="s">
        <v>54</v>
      </c>
      <c r="E124" s="20" t="s">
        <v>80</v>
      </c>
      <c r="F124" s="20" t="s">
        <v>123</v>
      </c>
      <c r="G124" s="20" t="s">
        <v>29</v>
      </c>
      <c r="H124" s="20" t="s">
        <v>57</v>
      </c>
      <c r="I124" s="20" t="s">
        <v>31</v>
      </c>
      <c r="J124" s="20" t="s">
        <v>32</v>
      </c>
      <c r="K124" s="20" t="s">
        <v>33</v>
      </c>
      <c r="L124" s="20" t="s">
        <v>34</v>
      </c>
      <c r="M124" s="20">
        <v>378912</v>
      </c>
      <c r="N124" s="20">
        <v>10382</v>
      </c>
      <c r="O124" s="27">
        <v>2.74</v>
      </c>
      <c r="P124" s="22">
        <v>7.4499999999999997E-2</v>
      </c>
      <c r="Q124" s="20">
        <v>773</v>
      </c>
      <c r="R124" s="23">
        <v>159435.57999999999</v>
      </c>
      <c r="S124" s="20">
        <v>15.36</v>
      </c>
      <c r="T124" s="20">
        <v>206.26</v>
      </c>
      <c r="U124" s="23">
        <v>399178.86</v>
      </c>
      <c r="V124" s="22">
        <v>1.5037</v>
      </c>
      <c r="W124" s="22">
        <v>1.0800000000000001E-2</v>
      </c>
      <c r="X124" s="20" t="s">
        <v>51</v>
      </c>
    </row>
    <row r="125" spans="1:24" x14ac:dyDescent="0.25">
      <c r="A125" s="20" t="s">
        <v>229</v>
      </c>
      <c r="B125" s="21">
        <v>45865</v>
      </c>
      <c r="C125" s="20" t="s">
        <v>99</v>
      </c>
      <c r="D125" s="20" t="s">
        <v>46</v>
      </c>
      <c r="E125" s="20" t="s">
        <v>85</v>
      </c>
      <c r="F125" s="20" t="s">
        <v>86</v>
      </c>
      <c r="G125" s="20" t="s">
        <v>83</v>
      </c>
      <c r="H125" s="20" t="s">
        <v>57</v>
      </c>
      <c r="I125" s="20" t="s">
        <v>31</v>
      </c>
      <c r="J125" s="20" t="s">
        <v>130</v>
      </c>
      <c r="K125" s="20" t="s">
        <v>130</v>
      </c>
      <c r="L125" s="20" t="s">
        <v>43</v>
      </c>
      <c r="M125" s="20">
        <v>29325</v>
      </c>
      <c r="N125" s="20">
        <v>563</v>
      </c>
      <c r="O125" s="27">
        <v>1.92</v>
      </c>
      <c r="P125" s="22">
        <v>0.1114</v>
      </c>
      <c r="Q125" s="20">
        <v>62</v>
      </c>
      <c r="R125" s="23">
        <v>152954.03</v>
      </c>
      <c r="S125" s="20">
        <v>271.68</v>
      </c>
      <c r="T125" s="20">
        <v>2467</v>
      </c>
      <c r="U125" s="23">
        <v>338548.45</v>
      </c>
      <c r="V125" s="22">
        <v>1.2134</v>
      </c>
      <c r="W125" s="22">
        <v>0.11940000000000001</v>
      </c>
      <c r="X125" s="20" t="s">
        <v>76</v>
      </c>
    </row>
    <row r="126" spans="1:24" x14ac:dyDescent="0.25">
      <c r="A126" s="20" t="s">
        <v>230</v>
      </c>
      <c r="B126" s="21">
        <v>45850</v>
      </c>
      <c r="C126" s="20" t="s">
        <v>45</v>
      </c>
      <c r="D126" s="20" t="s">
        <v>46</v>
      </c>
      <c r="E126" s="20" t="s">
        <v>80</v>
      </c>
      <c r="F126" s="20" t="s">
        <v>81</v>
      </c>
      <c r="G126" s="20" t="s">
        <v>40</v>
      </c>
      <c r="H126" s="20" t="s">
        <v>87</v>
      </c>
      <c r="I126" s="20" t="s">
        <v>49</v>
      </c>
      <c r="J126" s="20" t="s">
        <v>50</v>
      </c>
      <c r="K126" s="20" t="s">
        <v>50</v>
      </c>
      <c r="L126" s="20" t="s">
        <v>43</v>
      </c>
      <c r="M126" s="20">
        <v>245060</v>
      </c>
      <c r="N126" s="20">
        <v>12718</v>
      </c>
      <c r="O126" s="27">
        <v>5.19</v>
      </c>
      <c r="P126" s="22">
        <v>2.9100000000000001E-2</v>
      </c>
      <c r="Q126" s="20">
        <v>370</v>
      </c>
      <c r="R126" s="23">
        <v>166577.67000000001</v>
      </c>
      <c r="S126" s="20">
        <v>13.1</v>
      </c>
      <c r="T126" s="20">
        <v>450.21</v>
      </c>
      <c r="U126" s="23">
        <v>449626.45</v>
      </c>
      <c r="V126" s="22">
        <v>1.6992</v>
      </c>
      <c r="W126" s="22">
        <v>6.6100000000000006E-2</v>
      </c>
      <c r="X126" s="20" t="s">
        <v>35</v>
      </c>
    </row>
    <row r="127" spans="1:24" x14ac:dyDescent="0.25">
      <c r="A127" s="20" t="s">
        <v>231</v>
      </c>
      <c r="B127" s="21">
        <v>45664</v>
      </c>
      <c r="C127" s="20" t="s">
        <v>53</v>
      </c>
      <c r="D127" s="20" t="s">
        <v>54</v>
      </c>
      <c r="E127" s="20" t="s">
        <v>38</v>
      </c>
      <c r="F127" s="20" t="s">
        <v>39</v>
      </c>
      <c r="G127" s="20" t="s">
        <v>56</v>
      </c>
      <c r="H127" s="20" t="s">
        <v>30</v>
      </c>
      <c r="I127" s="20" t="s">
        <v>49</v>
      </c>
      <c r="J127" s="20" t="s">
        <v>127</v>
      </c>
      <c r="K127" s="20" t="s">
        <v>128</v>
      </c>
      <c r="L127" s="20" t="s">
        <v>60</v>
      </c>
      <c r="M127" s="20">
        <v>457172</v>
      </c>
      <c r="N127" s="20">
        <v>12663</v>
      </c>
      <c r="O127" s="27">
        <v>2.77</v>
      </c>
      <c r="P127" s="22">
        <v>5.6399999999999999E-2</v>
      </c>
      <c r="Q127" s="20">
        <v>714</v>
      </c>
      <c r="R127" s="23">
        <v>80982.320000000007</v>
      </c>
      <c r="S127" s="20">
        <v>6.4</v>
      </c>
      <c r="T127" s="20">
        <v>113.42</v>
      </c>
      <c r="U127" s="23">
        <v>136908.71</v>
      </c>
      <c r="V127" s="22">
        <v>0.69059999999999999</v>
      </c>
      <c r="W127" s="22">
        <v>9.8100000000000007E-2</v>
      </c>
      <c r="X127" s="20" t="s">
        <v>76</v>
      </c>
    </row>
    <row r="128" spans="1:24" x14ac:dyDescent="0.25">
      <c r="A128" s="20" t="s">
        <v>232</v>
      </c>
      <c r="B128" s="21">
        <v>45685</v>
      </c>
      <c r="C128" s="20" t="s">
        <v>95</v>
      </c>
      <c r="D128" s="20" t="s">
        <v>79</v>
      </c>
      <c r="E128" s="20" t="s">
        <v>85</v>
      </c>
      <c r="F128" s="20" t="s">
        <v>86</v>
      </c>
      <c r="G128" s="20" t="s">
        <v>29</v>
      </c>
      <c r="H128" s="20" t="s">
        <v>64</v>
      </c>
      <c r="I128" s="20" t="s">
        <v>49</v>
      </c>
      <c r="J128" s="20" t="s">
        <v>110</v>
      </c>
      <c r="K128" s="20" t="s">
        <v>111</v>
      </c>
      <c r="L128" s="20" t="s">
        <v>112</v>
      </c>
      <c r="M128" s="20">
        <v>486626</v>
      </c>
      <c r="N128" s="20">
        <v>17177</v>
      </c>
      <c r="O128" s="27">
        <v>3.53</v>
      </c>
      <c r="P128" s="22">
        <v>1.7399999999999999E-2</v>
      </c>
      <c r="Q128" s="20">
        <v>298</v>
      </c>
      <c r="R128" s="23">
        <v>170630.77</v>
      </c>
      <c r="S128" s="20">
        <v>9.93</v>
      </c>
      <c r="T128" s="20">
        <v>572.59</v>
      </c>
      <c r="U128" s="23">
        <v>352506.11</v>
      </c>
      <c r="V128" s="22">
        <v>1.0659000000000001</v>
      </c>
      <c r="W128" s="22">
        <v>0.14899999999999999</v>
      </c>
      <c r="X128" s="20" t="s">
        <v>51</v>
      </c>
    </row>
    <row r="129" spans="1:24" x14ac:dyDescent="0.25">
      <c r="A129" s="20" t="s">
        <v>233</v>
      </c>
      <c r="B129" s="21">
        <v>45737</v>
      </c>
      <c r="C129" s="20" t="s">
        <v>95</v>
      </c>
      <c r="D129" s="20" t="s">
        <v>79</v>
      </c>
      <c r="E129" s="20" t="s">
        <v>38</v>
      </c>
      <c r="F129" s="20" t="s">
        <v>114</v>
      </c>
      <c r="G129" s="20" t="s">
        <v>63</v>
      </c>
      <c r="H129" s="20" t="s">
        <v>87</v>
      </c>
      <c r="I129" s="20" t="s">
        <v>31</v>
      </c>
      <c r="J129" s="20" t="s">
        <v>50</v>
      </c>
      <c r="K129" s="20" t="s">
        <v>50</v>
      </c>
      <c r="L129" s="20" t="s">
        <v>43</v>
      </c>
      <c r="M129" s="20">
        <v>252564</v>
      </c>
      <c r="N129" s="20">
        <v>5278</v>
      </c>
      <c r="O129" s="27">
        <v>2.09</v>
      </c>
      <c r="P129" s="22">
        <v>2.6700000000000002E-2</v>
      </c>
      <c r="Q129" s="20">
        <v>140</v>
      </c>
      <c r="R129" s="23">
        <v>5851.45</v>
      </c>
      <c r="S129" s="20">
        <v>1.1100000000000001</v>
      </c>
      <c r="T129" s="20">
        <v>41.8</v>
      </c>
      <c r="U129" s="23">
        <v>4160.38</v>
      </c>
      <c r="V129" s="22">
        <v>-0.28899999999999998</v>
      </c>
      <c r="W129" s="22">
        <v>0.1041</v>
      </c>
      <c r="X129" s="20" t="s">
        <v>35</v>
      </c>
    </row>
    <row r="130" spans="1:24" x14ac:dyDescent="0.25">
      <c r="A130" s="20" t="s">
        <v>234</v>
      </c>
      <c r="B130" s="21">
        <v>45703</v>
      </c>
      <c r="C130" s="20" t="s">
        <v>78</v>
      </c>
      <c r="D130" s="20" t="s">
        <v>79</v>
      </c>
      <c r="E130" s="20" t="s">
        <v>38</v>
      </c>
      <c r="F130" s="20" t="s">
        <v>39</v>
      </c>
      <c r="G130" s="20" t="s">
        <v>40</v>
      </c>
      <c r="H130" s="20" t="s">
        <v>64</v>
      </c>
      <c r="I130" s="20" t="s">
        <v>31</v>
      </c>
      <c r="J130" s="20" t="s">
        <v>127</v>
      </c>
      <c r="K130" s="20" t="s">
        <v>128</v>
      </c>
      <c r="L130" s="20" t="s">
        <v>60</v>
      </c>
      <c r="M130" s="20">
        <v>382147</v>
      </c>
      <c r="N130" s="20">
        <v>18228</v>
      </c>
      <c r="O130" s="27">
        <v>4.7699999999999996</v>
      </c>
      <c r="P130" s="22">
        <v>5.96E-2</v>
      </c>
      <c r="Q130" s="20">
        <v>1086</v>
      </c>
      <c r="R130" s="23">
        <v>186563.42</v>
      </c>
      <c r="S130" s="20">
        <v>10.23</v>
      </c>
      <c r="T130" s="20">
        <v>171.79</v>
      </c>
      <c r="U130" s="23">
        <v>526556.6</v>
      </c>
      <c r="V130" s="22">
        <v>1.8224</v>
      </c>
      <c r="W130" s="22">
        <v>5.8099999999999999E-2</v>
      </c>
      <c r="X130" s="20" t="s">
        <v>51</v>
      </c>
    </row>
    <row r="131" spans="1:24" x14ac:dyDescent="0.25">
      <c r="A131" s="20" t="s">
        <v>235</v>
      </c>
      <c r="B131" s="21">
        <v>45732</v>
      </c>
      <c r="C131" s="20" t="s">
        <v>105</v>
      </c>
      <c r="D131" s="20" t="s">
        <v>46</v>
      </c>
      <c r="E131" s="20" t="s">
        <v>47</v>
      </c>
      <c r="F131" s="20" t="s">
        <v>125</v>
      </c>
      <c r="G131" s="20" t="s">
        <v>83</v>
      </c>
      <c r="H131" s="20" t="s">
        <v>57</v>
      </c>
      <c r="I131" s="20" t="s">
        <v>31</v>
      </c>
      <c r="J131" s="20" t="s">
        <v>110</v>
      </c>
      <c r="K131" s="20" t="s">
        <v>111</v>
      </c>
      <c r="L131" s="20" t="s">
        <v>112</v>
      </c>
      <c r="M131" s="20">
        <v>21760</v>
      </c>
      <c r="N131" s="20">
        <v>128</v>
      </c>
      <c r="O131" s="27">
        <v>0.59</v>
      </c>
      <c r="P131" s="22">
        <v>1.1599999999999999E-2</v>
      </c>
      <c r="Q131" s="20">
        <v>1</v>
      </c>
      <c r="R131" s="23">
        <v>163372.98000000001</v>
      </c>
      <c r="S131" s="20">
        <v>1276.3499999999999</v>
      </c>
      <c r="T131" s="20">
        <v>163372.98000000001</v>
      </c>
      <c r="U131" s="23">
        <v>421485.95</v>
      </c>
      <c r="V131" s="22">
        <v>1.5799000000000001</v>
      </c>
      <c r="W131" s="22">
        <v>1.66E-2</v>
      </c>
      <c r="X131" s="20" t="s">
        <v>51</v>
      </c>
    </row>
    <row r="132" spans="1:24" x14ac:dyDescent="0.25">
      <c r="A132" s="20" t="s">
        <v>236</v>
      </c>
      <c r="B132" s="21">
        <v>45742</v>
      </c>
      <c r="C132" s="20" t="s">
        <v>95</v>
      </c>
      <c r="D132" s="20" t="s">
        <v>79</v>
      </c>
      <c r="E132" s="20" t="s">
        <v>85</v>
      </c>
      <c r="F132" s="20" t="s">
        <v>86</v>
      </c>
      <c r="G132" s="20" t="s">
        <v>56</v>
      </c>
      <c r="H132" s="20" t="s">
        <v>57</v>
      </c>
      <c r="I132" s="20" t="s">
        <v>49</v>
      </c>
      <c r="J132" s="20" t="s">
        <v>110</v>
      </c>
      <c r="K132" s="20" t="s">
        <v>111</v>
      </c>
      <c r="L132" s="20" t="s">
        <v>112</v>
      </c>
      <c r="M132" s="20">
        <v>235017</v>
      </c>
      <c r="N132" s="20">
        <v>9447</v>
      </c>
      <c r="O132" s="27">
        <v>4.0199999999999996</v>
      </c>
      <c r="P132" s="22">
        <v>2.8299999999999999E-2</v>
      </c>
      <c r="Q132" s="20">
        <v>267</v>
      </c>
      <c r="R132" s="23">
        <v>241656.11</v>
      </c>
      <c r="S132" s="20">
        <v>25.58</v>
      </c>
      <c r="T132" s="20">
        <v>905.08</v>
      </c>
      <c r="U132" s="23">
        <v>234019.78</v>
      </c>
      <c r="V132" s="22">
        <v>-3.1600000000000003E-2</v>
      </c>
      <c r="W132" s="22">
        <v>0.14330000000000001</v>
      </c>
      <c r="X132" s="20" t="s">
        <v>35</v>
      </c>
    </row>
    <row r="133" spans="1:24" x14ac:dyDescent="0.25">
      <c r="A133" s="20" t="s">
        <v>237</v>
      </c>
      <c r="B133" s="21">
        <v>45871</v>
      </c>
      <c r="C133" s="20" t="s">
        <v>95</v>
      </c>
      <c r="D133" s="20" t="s">
        <v>79</v>
      </c>
      <c r="E133" s="20" t="s">
        <v>27</v>
      </c>
      <c r="F133" s="20" t="s">
        <v>55</v>
      </c>
      <c r="G133" s="20" t="s">
        <v>56</v>
      </c>
      <c r="H133" s="20" t="s">
        <v>30</v>
      </c>
      <c r="I133" s="20" t="s">
        <v>72</v>
      </c>
      <c r="J133" s="20" t="s">
        <v>127</v>
      </c>
      <c r="K133" s="20" t="s">
        <v>128</v>
      </c>
      <c r="L133" s="20" t="s">
        <v>60</v>
      </c>
      <c r="M133" s="20">
        <v>151751</v>
      </c>
      <c r="N133" s="20">
        <v>1441</v>
      </c>
      <c r="O133" s="27">
        <v>0.95</v>
      </c>
      <c r="P133" s="22">
        <v>0.1171</v>
      </c>
      <c r="Q133" s="20">
        <v>168</v>
      </c>
      <c r="R133" s="23">
        <v>176409.89</v>
      </c>
      <c r="S133" s="20">
        <v>122.42</v>
      </c>
      <c r="T133" s="20">
        <v>1050.06</v>
      </c>
      <c r="U133" s="23">
        <v>459194.94</v>
      </c>
      <c r="V133" s="22">
        <v>1.603</v>
      </c>
      <c r="W133" s="22">
        <v>5.3100000000000001E-2</v>
      </c>
      <c r="X133" s="20" t="s">
        <v>51</v>
      </c>
    </row>
    <row r="134" spans="1:24" x14ac:dyDescent="0.25">
      <c r="A134" s="20" t="s">
        <v>238</v>
      </c>
      <c r="B134" s="21">
        <v>45665</v>
      </c>
      <c r="C134" s="20" t="s">
        <v>25</v>
      </c>
      <c r="D134" s="20" t="s">
        <v>26</v>
      </c>
      <c r="E134" s="20" t="s">
        <v>85</v>
      </c>
      <c r="F134" s="20" t="s">
        <v>91</v>
      </c>
      <c r="G134" s="20" t="s">
        <v>63</v>
      </c>
      <c r="H134" s="20" t="s">
        <v>64</v>
      </c>
      <c r="I134" s="20" t="s">
        <v>31</v>
      </c>
      <c r="J134" s="20" t="s">
        <v>73</v>
      </c>
      <c r="K134" s="20" t="s">
        <v>74</v>
      </c>
      <c r="L134" s="20" t="s">
        <v>75</v>
      </c>
      <c r="M134" s="20">
        <v>208086</v>
      </c>
      <c r="N134" s="20">
        <v>11736</v>
      </c>
      <c r="O134" s="27">
        <v>5.64</v>
      </c>
      <c r="P134" s="22">
        <v>7.6200000000000004E-2</v>
      </c>
      <c r="Q134" s="20">
        <v>894</v>
      </c>
      <c r="R134" s="23">
        <v>224236.75</v>
      </c>
      <c r="S134" s="20">
        <v>19.11</v>
      </c>
      <c r="T134" s="20">
        <v>250.82</v>
      </c>
      <c r="U134" s="23">
        <v>573418.22</v>
      </c>
      <c r="V134" s="22">
        <v>1.5571999999999999</v>
      </c>
      <c r="W134" s="22">
        <v>4.6100000000000002E-2</v>
      </c>
      <c r="X134" s="20" t="s">
        <v>35</v>
      </c>
    </row>
    <row r="135" spans="1:24" x14ac:dyDescent="0.25">
      <c r="A135" s="20" t="s">
        <v>239</v>
      </c>
      <c r="B135" s="21">
        <v>45792</v>
      </c>
      <c r="C135" s="20" t="s">
        <v>120</v>
      </c>
      <c r="D135" s="20" t="s">
        <v>79</v>
      </c>
      <c r="E135" s="20" t="s">
        <v>27</v>
      </c>
      <c r="F135" s="20" t="s">
        <v>28</v>
      </c>
      <c r="G135" s="20" t="s">
        <v>63</v>
      </c>
      <c r="H135" s="20" t="s">
        <v>87</v>
      </c>
      <c r="I135" s="20" t="s">
        <v>72</v>
      </c>
      <c r="J135" s="20" t="s">
        <v>92</v>
      </c>
      <c r="K135" s="20" t="s">
        <v>93</v>
      </c>
      <c r="L135" s="20" t="s">
        <v>34</v>
      </c>
      <c r="M135" s="20">
        <v>78751</v>
      </c>
      <c r="N135" s="20">
        <v>5189</v>
      </c>
      <c r="O135" s="27">
        <v>6.59</v>
      </c>
      <c r="P135" s="22">
        <v>0.10539999999999999</v>
      </c>
      <c r="Q135" s="20">
        <v>546</v>
      </c>
      <c r="R135" s="23">
        <v>143833.24</v>
      </c>
      <c r="S135" s="20">
        <v>27.72</v>
      </c>
      <c r="T135" s="20">
        <v>263.43</v>
      </c>
      <c r="U135" s="23">
        <v>191283.83</v>
      </c>
      <c r="V135" s="22">
        <v>0.32990000000000003</v>
      </c>
      <c r="W135" s="22">
        <v>0.12839999999999999</v>
      </c>
      <c r="X135" s="20" t="s">
        <v>51</v>
      </c>
    </row>
    <row r="136" spans="1:24" x14ac:dyDescent="0.25">
      <c r="A136" s="20" t="s">
        <v>240</v>
      </c>
      <c r="B136" s="21">
        <v>45913</v>
      </c>
      <c r="C136" s="20" t="s">
        <v>53</v>
      </c>
      <c r="D136" s="20" t="s">
        <v>54</v>
      </c>
      <c r="E136" s="20" t="s">
        <v>85</v>
      </c>
      <c r="F136" s="20" t="s">
        <v>86</v>
      </c>
      <c r="G136" s="20" t="s">
        <v>63</v>
      </c>
      <c r="H136" s="20" t="s">
        <v>30</v>
      </c>
      <c r="I136" s="20" t="s">
        <v>72</v>
      </c>
      <c r="J136" s="20" t="s">
        <v>58</v>
      </c>
      <c r="K136" s="20" t="s">
        <v>59</v>
      </c>
      <c r="L136" s="20" t="s">
        <v>60</v>
      </c>
      <c r="M136" s="20">
        <v>205140</v>
      </c>
      <c r="N136" s="20">
        <v>4102</v>
      </c>
      <c r="O136" s="27">
        <v>2</v>
      </c>
      <c r="P136" s="22">
        <v>9.2499999999999999E-2</v>
      </c>
      <c r="Q136" s="20">
        <v>379</v>
      </c>
      <c r="R136" s="23">
        <v>233067.24</v>
      </c>
      <c r="S136" s="20">
        <v>56.82</v>
      </c>
      <c r="T136" s="20">
        <v>614.95000000000005</v>
      </c>
      <c r="U136" s="23">
        <v>288607.15999999997</v>
      </c>
      <c r="V136" s="22">
        <v>0.23830000000000001</v>
      </c>
      <c r="W136" s="22">
        <v>9.2999999999999999E-2</v>
      </c>
      <c r="X136" s="20" t="s">
        <v>51</v>
      </c>
    </row>
    <row r="137" spans="1:24" x14ac:dyDescent="0.25">
      <c r="A137" s="20" t="s">
        <v>241</v>
      </c>
      <c r="B137" s="21">
        <v>45896</v>
      </c>
      <c r="C137" s="20" t="s">
        <v>78</v>
      </c>
      <c r="D137" s="20" t="s">
        <v>79</v>
      </c>
      <c r="E137" s="20" t="s">
        <v>47</v>
      </c>
      <c r="F137" s="20" t="s">
        <v>48</v>
      </c>
      <c r="G137" s="20" t="s">
        <v>83</v>
      </c>
      <c r="H137" s="20" t="s">
        <v>64</v>
      </c>
      <c r="I137" s="20" t="s">
        <v>49</v>
      </c>
      <c r="J137" s="20" t="s">
        <v>121</v>
      </c>
      <c r="K137" s="20" t="s">
        <v>74</v>
      </c>
      <c r="L137" s="20" t="s">
        <v>75</v>
      </c>
      <c r="M137" s="20">
        <v>286098</v>
      </c>
      <c r="N137" s="20">
        <v>18739</v>
      </c>
      <c r="O137" s="27">
        <v>6.55</v>
      </c>
      <c r="P137" s="22">
        <v>9.4899999999999998E-2</v>
      </c>
      <c r="Q137" s="20">
        <v>1778</v>
      </c>
      <c r="R137" s="23">
        <v>59750.879999999997</v>
      </c>
      <c r="S137" s="20">
        <v>3.19</v>
      </c>
      <c r="T137" s="20">
        <v>33.61</v>
      </c>
      <c r="U137" s="23">
        <v>121479.51</v>
      </c>
      <c r="V137" s="22">
        <v>1.0330999999999999</v>
      </c>
      <c r="W137" s="22">
        <v>0.1351</v>
      </c>
      <c r="X137" s="20" t="s">
        <v>51</v>
      </c>
    </row>
    <row r="138" spans="1:24" x14ac:dyDescent="0.25">
      <c r="A138" s="20" t="s">
        <v>242</v>
      </c>
      <c r="B138" s="21">
        <v>45925</v>
      </c>
      <c r="C138" s="20" t="s">
        <v>53</v>
      </c>
      <c r="D138" s="20" t="s">
        <v>54</v>
      </c>
      <c r="E138" s="20" t="s">
        <v>27</v>
      </c>
      <c r="F138" s="20" t="s">
        <v>28</v>
      </c>
      <c r="G138" s="20" t="s">
        <v>40</v>
      </c>
      <c r="H138" s="20" t="s">
        <v>71</v>
      </c>
      <c r="I138" s="20" t="s">
        <v>31</v>
      </c>
      <c r="J138" s="20" t="s">
        <v>121</v>
      </c>
      <c r="K138" s="20" t="s">
        <v>74</v>
      </c>
      <c r="L138" s="20" t="s">
        <v>75</v>
      </c>
      <c r="M138" s="20">
        <v>99735</v>
      </c>
      <c r="N138" s="20">
        <v>6522</v>
      </c>
      <c r="O138" s="27">
        <v>6.54</v>
      </c>
      <c r="P138" s="22">
        <v>4.19E-2</v>
      </c>
      <c r="Q138" s="20">
        <v>273</v>
      </c>
      <c r="R138" s="23">
        <v>145310.76999999999</v>
      </c>
      <c r="S138" s="20">
        <v>22.28</v>
      </c>
      <c r="T138" s="20">
        <v>532.27</v>
      </c>
      <c r="U138" s="23">
        <v>221657.05</v>
      </c>
      <c r="V138" s="22">
        <v>0.52539999999999998</v>
      </c>
      <c r="W138" s="22">
        <v>0.11799999999999999</v>
      </c>
      <c r="X138" s="20" t="s">
        <v>51</v>
      </c>
    </row>
    <row r="139" spans="1:24" x14ac:dyDescent="0.25">
      <c r="A139" s="20" t="s">
        <v>243</v>
      </c>
      <c r="B139" s="21">
        <v>45784</v>
      </c>
      <c r="C139" s="20" t="s">
        <v>37</v>
      </c>
      <c r="D139" s="20" t="s">
        <v>26</v>
      </c>
      <c r="E139" s="20" t="s">
        <v>27</v>
      </c>
      <c r="F139" s="20" t="s">
        <v>55</v>
      </c>
      <c r="G139" s="20" t="s">
        <v>29</v>
      </c>
      <c r="H139" s="20" t="s">
        <v>57</v>
      </c>
      <c r="I139" s="20" t="s">
        <v>49</v>
      </c>
      <c r="J139" s="20" t="s">
        <v>102</v>
      </c>
      <c r="K139" s="20" t="s">
        <v>103</v>
      </c>
      <c r="L139" s="20" t="s">
        <v>75</v>
      </c>
      <c r="M139" s="20">
        <v>417796</v>
      </c>
      <c r="N139" s="20">
        <v>4637</v>
      </c>
      <c r="O139" s="27">
        <v>1.1100000000000001</v>
      </c>
      <c r="P139" s="22">
        <v>4.4699999999999997E-2</v>
      </c>
      <c r="Q139" s="20">
        <v>207</v>
      </c>
      <c r="R139" s="23">
        <v>9528.98</v>
      </c>
      <c r="S139" s="20">
        <v>2.0499999999999998</v>
      </c>
      <c r="T139" s="20">
        <v>46.03</v>
      </c>
      <c r="U139" s="23">
        <v>12819.34</v>
      </c>
      <c r="V139" s="22">
        <v>0.3453</v>
      </c>
      <c r="W139" s="22">
        <v>9.2999999999999999E-2</v>
      </c>
      <c r="X139" s="20" t="s">
        <v>35</v>
      </c>
    </row>
    <row r="140" spans="1:24" x14ac:dyDescent="0.25">
      <c r="A140" s="20" t="s">
        <v>244</v>
      </c>
      <c r="B140" s="21">
        <v>45762</v>
      </c>
      <c r="C140" s="20" t="s">
        <v>45</v>
      </c>
      <c r="D140" s="20" t="s">
        <v>46</v>
      </c>
      <c r="E140" s="20" t="s">
        <v>27</v>
      </c>
      <c r="F140" s="20" t="s">
        <v>28</v>
      </c>
      <c r="G140" s="20" t="s">
        <v>56</v>
      </c>
      <c r="H140" s="20" t="s">
        <v>57</v>
      </c>
      <c r="I140" s="20" t="s">
        <v>72</v>
      </c>
      <c r="J140" s="20" t="s">
        <v>121</v>
      </c>
      <c r="K140" s="20" t="s">
        <v>74</v>
      </c>
      <c r="L140" s="20" t="s">
        <v>75</v>
      </c>
      <c r="M140" s="20">
        <v>239284</v>
      </c>
      <c r="N140" s="20">
        <v>14955</v>
      </c>
      <c r="O140" s="27">
        <v>6.25</v>
      </c>
      <c r="P140" s="22">
        <v>0.10009999999999999</v>
      </c>
      <c r="Q140" s="20">
        <v>1496</v>
      </c>
      <c r="R140" s="23">
        <v>240940.11</v>
      </c>
      <c r="S140" s="20">
        <v>16.11</v>
      </c>
      <c r="T140" s="20">
        <v>161.06</v>
      </c>
      <c r="U140" s="23">
        <v>309415.28999999998</v>
      </c>
      <c r="V140" s="22">
        <v>0.28420000000000001</v>
      </c>
      <c r="W140" s="22">
        <v>1.0500000000000001E-2</v>
      </c>
      <c r="X140" s="20" t="s">
        <v>35</v>
      </c>
    </row>
    <row r="141" spans="1:24" x14ac:dyDescent="0.25">
      <c r="A141" s="20" t="s">
        <v>245</v>
      </c>
      <c r="B141" s="21">
        <v>45750</v>
      </c>
      <c r="C141" s="20" t="s">
        <v>70</v>
      </c>
      <c r="D141" s="20" t="s">
        <v>54</v>
      </c>
      <c r="E141" s="20" t="s">
        <v>62</v>
      </c>
      <c r="F141" s="20" t="s">
        <v>28</v>
      </c>
      <c r="G141" s="20" t="s">
        <v>29</v>
      </c>
      <c r="H141" s="20" t="s">
        <v>87</v>
      </c>
      <c r="I141" s="20" t="s">
        <v>49</v>
      </c>
      <c r="J141" s="20" t="s">
        <v>32</v>
      </c>
      <c r="K141" s="20" t="s">
        <v>33</v>
      </c>
      <c r="L141" s="20" t="s">
        <v>34</v>
      </c>
      <c r="M141" s="20">
        <v>461480</v>
      </c>
      <c r="N141" s="20">
        <v>26719</v>
      </c>
      <c r="O141" s="27">
        <v>5.79</v>
      </c>
      <c r="P141" s="22">
        <v>6.3600000000000004E-2</v>
      </c>
      <c r="Q141" s="20">
        <v>1699</v>
      </c>
      <c r="R141" s="23">
        <v>211710.19</v>
      </c>
      <c r="S141" s="20">
        <v>7.92</v>
      </c>
      <c r="T141" s="20">
        <v>124.61</v>
      </c>
      <c r="U141" s="23">
        <v>583896.69999999995</v>
      </c>
      <c r="V141" s="22">
        <v>1.758</v>
      </c>
      <c r="W141" s="22">
        <v>0.13009999999999999</v>
      </c>
      <c r="X141" s="20" t="s">
        <v>51</v>
      </c>
    </row>
    <row r="142" spans="1:24" x14ac:dyDescent="0.25">
      <c r="A142" s="20" t="s">
        <v>246</v>
      </c>
      <c r="B142" s="21">
        <v>45719</v>
      </c>
      <c r="C142" s="20" t="s">
        <v>105</v>
      </c>
      <c r="D142" s="20" t="s">
        <v>46</v>
      </c>
      <c r="E142" s="20" t="s">
        <v>47</v>
      </c>
      <c r="F142" s="20" t="s">
        <v>125</v>
      </c>
      <c r="G142" s="20" t="s">
        <v>63</v>
      </c>
      <c r="H142" s="20" t="s">
        <v>71</v>
      </c>
      <c r="I142" s="20" t="s">
        <v>49</v>
      </c>
      <c r="J142" s="20" t="s">
        <v>121</v>
      </c>
      <c r="K142" s="20" t="s">
        <v>74</v>
      </c>
      <c r="L142" s="20" t="s">
        <v>75</v>
      </c>
      <c r="M142" s="20">
        <v>487809</v>
      </c>
      <c r="N142" s="20">
        <v>26927</v>
      </c>
      <c r="O142" s="27">
        <v>5.52</v>
      </c>
      <c r="P142" s="22">
        <v>5.3199999999999997E-2</v>
      </c>
      <c r="Q142" s="20">
        <v>1432</v>
      </c>
      <c r="R142" s="23">
        <v>113189.17</v>
      </c>
      <c r="S142" s="20">
        <v>4.2</v>
      </c>
      <c r="T142" s="20">
        <v>79.040000000000006</v>
      </c>
      <c r="U142" s="23">
        <v>120818.12</v>
      </c>
      <c r="V142" s="22">
        <v>6.7400000000000002E-2</v>
      </c>
      <c r="W142" s="22">
        <v>0.14499999999999999</v>
      </c>
      <c r="X142" s="20" t="s">
        <v>76</v>
      </c>
    </row>
    <row r="143" spans="1:24" x14ac:dyDescent="0.25">
      <c r="A143" s="20" t="s">
        <v>247</v>
      </c>
      <c r="B143" s="21">
        <v>45771</v>
      </c>
      <c r="C143" s="20" t="s">
        <v>25</v>
      </c>
      <c r="D143" s="20" t="s">
        <v>26</v>
      </c>
      <c r="E143" s="20" t="s">
        <v>62</v>
      </c>
      <c r="F143" s="20" t="s">
        <v>117</v>
      </c>
      <c r="G143" s="20" t="s">
        <v>56</v>
      </c>
      <c r="H143" s="20" t="s">
        <v>87</v>
      </c>
      <c r="I143" s="20" t="s">
        <v>49</v>
      </c>
      <c r="J143" s="20" t="s">
        <v>106</v>
      </c>
      <c r="K143" s="20" t="s">
        <v>107</v>
      </c>
      <c r="L143" s="20" t="s">
        <v>60</v>
      </c>
      <c r="M143" s="20">
        <v>19567</v>
      </c>
      <c r="N143" s="20">
        <v>1326</v>
      </c>
      <c r="O143" s="27">
        <v>6.78</v>
      </c>
      <c r="P143" s="22">
        <v>1.52E-2</v>
      </c>
      <c r="Q143" s="20">
        <v>20</v>
      </c>
      <c r="R143" s="23">
        <v>197020.56</v>
      </c>
      <c r="S143" s="20">
        <v>148.58000000000001</v>
      </c>
      <c r="T143" s="20">
        <v>9851.0300000000007</v>
      </c>
      <c r="U143" s="23">
        <v>459471.65</v>
      </c>
      <c r="V143" s="22">
        <v>1.3321000000000001</v>
      </c>
      <c r="W143" s="22">
        <v>9.8799999999999999E-2</v>
      </c>
      <c r="X143" s="20" t="s">
        <v>76</v>
      </c>
    </row>
    <row r="144" spans="1:24" x14ac:dyDescent="0.25">
      <c r="A144" s="20" t="s">
        <v>248</v>
      </c>
      <c r="B144" s="21">
        <v>45686</v>
      </c>
      <c r="C144" s="20" t="s">
        <v>105</v>
      </c>
      <c r="D144" s="20" t="s">
        <v>46</v>
      </c>
      <c r="E144" s="20" t="s">
        <v>80</v>
      </c>
      <c r="F144" s="20" t="s">
        <v>123</v>
      </c>
      <c r="G144" s="20" t="s">
        <v>29</v>
      </c>
      <c r="H144" s="20" t="s">
        <v>71</v>
      </c>
      <c r="I144" s="20" t="s">
        <v>49</v>
      </c>
      <c r="J144" s="20" t="s">
        <v>110</v>
      </c>
      <c r="K144" s="20" t="s">
        <v>111</v>
      </c>
      <c r="L144" s="20" t="s">
        <v>112</v>
      </c>
      <c r="M144" s="20">
        <v>161653</v>
      </c>
      <c r="N144" s="20">
        <v>7953</v>
      </c>
      <c r="O144" s="27">
        <v>4.92</v>
      </c>
      <c r="P144" s="22">
        <v>5.8500000000000003E-2</v>
      </c>
      <c r="Q144" s="20">
        <v>465</v>
      </c>
      <c r="R144" s="23">
        <v>163823.82999999999</v>
      </c>
      <c r="S144" s="20">
        <v>20.6</v>
      </c>
      <c r="T144" s="20">
        <v>352.31</v>
      </c>
      <c r="U144" s="23">
        <v>292048.74</v>
      </c>
      <c r="V144" s="22">
        <v>0.78269999999999995</v>
      </c>
      <c r="W144" s="22">
        <v>5.8900000000000001E-2</v>
      </c>
      <c r="X144" s="20" t="s">
        <v>51</v>
      </c>
    </row>
    <row r="145" spans="1:24" x14ac:dyDescent="0.25">
      <c r="A145" s="20" t="s">
        <v>249</v>
      </c>
      <c r="B145" s="21">
        <v>45849</v>
      </c>
      <c r="C145" s="20" t="s">
        <v>95</v>
      </c>
      <c r="D145" s="20" t="s">
        <v>79</v>
      </c>
      <c r="E145" s="20" t="s">
        <v>27</v>
      </c>
      <c r="F145" s="20" t="s">
        <v>28</v>
      </c>
      <c r="G145" s="20" t="s">
        <v>83</v>
      </c>
      <c r="H145" s="20" t="s">
        <v>71</v>
      </c>
      <c r="I145" s="20" t="s">
        <v>31</v>
      </c>
      <c r="J145" s="20" t="s">
        <v>106</v>
      </c>
      <c r="K145" s="20" t="s">
        <v>107</v>
      </c>
      <c r="L145" s="20" t="s">
        <v>60</v>
      </c>
      <c r="M145" s="20">
        <v>360279</v>
      </c>
      <c r="N145" s="20">
        <v>25904</v>
      </c>
      <c r="O145" s="27">
        <v>7.19</v>
      </c>
      <c r="P145" s="22">
        <v>6.1499999999999999E-2</v>
      </c>
      <c r="Q145" s="20">
        <v>1593</v>
      </c>
      <c r="R145" s="23">
        <v>228321.54</v>
      </c>
      <c r="S145" s="20">
        <v>8.81</v>
      </c>
      <c r="T145" s="20">
        <v>143.33000000000001</v>
      </c>
      <c r="U145" s="23">
        <v>579343.07999999996</v>
      </c>
      <c r="V145" s="22">
        <v>1.5374000000000001</v>
      </c>
      <c r="W145" s="22">
        <v>2.7799999999999998E-2</v>
      </c>
      <c r="X145" s="20" t="s">
        <v>51</v>
      </c>
    </row>
    <row r="146" spans="1:24" x14ac:dyDescent="0.25">
      <c r="A146" s="20" t="s">
        <v>250</v>
      </c>
      <c r="B146" s="21">
        <v>45697</v>
      </c>
      <c r="C146" s="20" t="s">
        <v>45</v>
      </c>
      <c r="D146" s="20" t="s">
        <v>46</v>
      </c>
      <c r="E146" s="20" t="s">
        <v>38</v>
      </c>
      <c r="F146" s="20" t="s">
        <v>114</v>
      </c>
      <c r="G146" s="20" t="s">
        <v>40</v>
      </c>
      <c r="H146" s="20" t="s">
        <v>64</v>
      </c>
      <c r="I146" s="20" t="s">
        <v>31</v>
      </c>
      <c r="J146" s="20" t="s">
        <v>106</v>
      </c>
      <c r="K146" s="20" t="s">
        <v>107</v>
      </c>
      <c r="L146" s="20" t="s">
        <v>60</v>
      </c>
      <c r="M146" s="20">
        <v>491947</v>
      </c>
      <c r="N146" s="20">
        <v>16677</v>
      </c>
      <c r="O146" s="27">
        <v>3.39</v>
      </c>
      <c r="P146" s="22">
        <v>1.24E-2</v>
      </c>
      <c r="Q146" s="20">
        <v>206</v>
      </c>
      <c r="R146" s="23">
        <v>20638.2</v>
      </c>
      <c r="S146" s="20">
        <v>1.24</v>
      </c>
      <c r="T146" s="20">
        <v>100.19</v>
      </c>
      <c r="U146" s="23">
        <v>60599.95</v>
      </c>
      <c r="V146" s="22">
        <v>1.9362999999999999</v>
      </c>
      <c r="W146" s="22">
        <v>5.1799999999999999E-2</v>
      </c>
      <c r="X146" s="20" t="s">
        <v>35</v>
      </c>
    </row>
    <row r="147" spans="1:24" x14ac:dyDescent="0.25">
      <c r="A147" s="20" t="s">
        <v>251</v>
      </c>
      <c r="B147" s="21">
        <v>45717</v>
      </c>
      <c r="C147" s="20" t="s">
        <v>53</v>
      </c>
      <c r="D147" s="20" t="s">
        <v>54</v>
      </c>
      <c r="E147" s="20" t="s">
        <v>80</v>
      </c>
      <c r="F147" s="20" t="s">
        <v>123</v>
      </c>
      <c r="G147" s="20" t="s">
        <v>40</v>
      </c>
      <c r="H147" s="20" t="s">
        <v>87</v>
      </c>
      <c r="I147" s="20" t="s">
        <v>31</v>
      </c>
      <c r="J147" s="20" t="s">
        <v>110</v>
      </c>
      <c r="K147" s="20" t="s">
        <v>111</v>
      </c>
      <c r="L147" s="20" t="s">
        <v>112</v>
      </c>
      <c r="M147" s="20">
        <v>241651</v>
      </c>
      <c r="N147" s="20">
        <v>11236</v>
      </c>
      <c r="O147" s="27">
        <v>4.6500000000000004</v>
      </c>
      <c r="P147" s="22">
        <v>2.5899999999999999E-2</v>
      </c>
      <c r="Q147" s="20">
        <v>291</v>
      </c>
      <c r="R147" s="23">
        <v>217939.34</v>
      </c>
      <c r="S147" s="20">
        <v>19.399999999999999</v>
      </c>
      <c r="T147" s="20">
        <v>748.93</v>
      </c>
      <c r="U147" s="23">
        <v>286088.96999999997</v>
      </c>
      <c r="V147" s="22">
        <v>0.31269999999999998</v>
      </c>
      <c r="W147" s="22">
        <v>6.4699999999999994E-2</v>
      </c>
      <c r="X147" s="20" t="s">
        <v>35</v>
      </c>
    </row>
    <row r="148" spans="1:24" x14ac:dyDescent="0.25">
      <c r="A148" s="20" t="s">
        <v>252</v>
      </c>
      <c r="B148" s="21">
        <v>45796</v>
      </c>
      <c r="C148" s="20" t="s">
        <v>45</v>
      </c>
      <c r="D148" s="20" t="s">
        <v>46</v>
      </c>
      <c r="E148" s="20" t="s">
        <v>38</v>
      </c>
      <c r="F148" s="20" t="s">
        <v>114</v>
      </c>
      <c r="G148" s="20" t="s">
        <v>56</v>
      </c>
      <c r="H148" s="20" t="s">
        <v>71</v>
      </c>
      <c r="I148" s="20" t="s">
        <v>72</v>
      </c>
      <c r="J148" s="20" t="s">
        <v>102</v>
      </c>
      <c r="K148" s="20" t="s">
        <v>103</v>
      </c>
      <c r="L148" s="20" t="s">
        <v>75</v>
      </c>
      <c r="M148" s="20">
        <v>62272</v>
      </c>
      <c r="N148" s="20">
        <v>1799</v>
      </c>
      <c r="O148" s="27">
        <v>2.89</v>
      </c>
      <c r="P148" s="22">
        <v>0.10929999999999999</v>
      </c>
      <c r="Q148" s="20">
        <v>196</v>
      </c>
      <c r="R148" s="23">
        <v>30313.71</v>
      </c>
      <c r="S148" s="20">
        <v>16.850000000000001</v>
      </c>
      <c r="T148" s="20">
        <v>154.66</v>
      </c>
      <c r="U148" s="23">
        <v>89449.7</v>
      </c>
      <c r="V148" s="22">
        <v>1.9508000000000001</v>
      </c>
      <c r="W148" s="22">
        <v>1.32E-2</v>
      </c>
      <c r="X148" s="20" t="s">
        <v>51</v>
      </c>
    </row>
    <row r="149" spans="1:24" x14ac:dyDescent="0.25">
      <c r="A149" s="20" t="s">
        <v>253</v>
      </c>
      <c r="B149" s="21">
        <v>45766</v>
      </c>
      <c r="C149" s="20" t="s">
        <v>99</v>
      </c>
      <c r="D149" s="20" t="s">
        <v>46</v>
      </c>
      <c r="E149" s="20" t="s">
        <v>27</v>
      </c>
      <c r="F149" s="20" t="s">
        <v>55</v>
      </c>
      <c r="G149" s="20" t="s">
        <v>29</v>
      </c>
      <c r="H149" s="20" t="s">
        <v>57</v>
      </c>
      <c r="I149" s="20" t="s">
        <v>31</v>
      </c>
      <c r="J149" s="20" t="s">
        <v>32</v>
      </c>
      <c r="K149" s="20" t="s">
        <v>33</v>
      </c>
      <c r="L149" s="20" t="s">
        <v>34</v>
      </c>
      <c r="M149" s="20">
        <v>231523</v>
      </c>
      <c r="N149" s="20">
        <v>18359</v>
      </c>
      <c r="O149" s="27">
        <v>7.93</v>
      </c>
      <c r="P149" s="22">
        <v>0.1198</v>
      </c>
      <c r="Q149" s="20">
        <v>2199</v>
      </c>
      <c r="R149" s="23">
        <v>231419.78</v>
      </c>
      <c r="S149" s="20">
        <v>12.61</v>
      </c>
      <c r="T149" s="20">
        <v>105.24</v>
      </c>
      <c r="U149" s="23">
        <v>213924.44</v>
      </c>
      <c r="V149" s="22">
        <v>-7.5600000000000001E-2</v>
      </c>
      <c r="W149" s="22">
        <v>4.7E-2</v>
      </c>
      <c r="X149" s="20" t="s">
        <v>51</v>
      </c>
    </row>
    <row r="150" spans="1:24" x14ac:dyDescent="0.25">
      <c r="A150" s="20" t="s">
        <v>254</v>
      </c>
      <c r="B150" s="21">
        <v>45687</v>
      </c>
      <c r="C150" s="20" t="s">
        <v>120</v>
      </c>
      <c r="D150" s="20" t="s">
        <v>79</v>
      </c>
      <c r="E150" s="20" t="s">
        <v>80</v>
      </c>
      <c r="F150" s="20" t="s">
        <v>81</v>
      </c>
      <c r="G150" s="20" t="s">
        <v>83</v>
      </c>
      <c r="H150" s="20" t="s">
        <v>30</v>
      </c>
      <c r="I150" s="20" t="s">
        <v>72</v>
      </c>
      <c r="J150" s="20" t="s">
        <v>96</v>
      </c>
      <c r="K150" s="20" t="s">
        <v>97</v>
      </c>
      <c r="L150" s="20" t="s">
        <v>43</v>
      </c>
      <c r="M150" s="20">
        <v>78475</v>
      </c>
      <c r="N150" s="20">
        <v>2997</v>
      </c>
      <c r="O150" s="27">
        <v>3.82</v>
      </c>
      <c r="P150" s="22">
        <v>9.69E-2</v>
      </c>
      <c r="Q150" s="20">
        <v>290</v>
      </c>
      <c r="R150" s="23">
        <v>236024.27</v>
      </c>
      <c r="S150" s="20">
        <v>78.75</v>
      </c>
      <c r="T150" s="20">
        <v>813.88</v>
      </c>
      <c r="U150" s="23">
        <v>320686.18</v>
      </c>
      <c r="V150" s="22">
        <v>0.35870000000000002</v>
      </c>
      <c r="W150" s="22">
        <v>5.7200000000000001E-2</v>
      </c>
      <c r="X150" s="20" t="s">
        <v>35</v>
      </c>
    </row>
    <row r="151" spans="1:24" x14ac:dyDescent="0.25">
      <c r="A151" s="20" t="s">
        <v>255</v>
      </c>
      <c r="B151" s="21">
        <v>45867</v>
      </c>
      <c r="C151" s="20" t="s">
        <v>78</v>
      </c>
      <c r="D151" s="20" t="s">
        <v>79</v>
      </c>
      <c r="E151" s="20" t="s">
        <v>47</v>
      </c>
      <c r="F151" s="20" t="s">
        <v>48</v>
      </c>
      <c r="G151" s="20" t="s">
        <v>40</v>
      </c>
      <c r="H151" s="20" t="s">
        <v>71</v>
      </c>
      <c r="I151" s="20" t="s">
        <v>49</v>
      </c>
      <c r="J151" s="20" t="s">
        <v>58</v>
      </c>
      <c r="K151" s="20" t="s">
        <v>59</v>
      </c>
      <c r="L151" s="20" t="s">
        <v>60</v>
      </c>
      <c r="M151" s="20">
        <v>125806</v>
      </c>
      <c r="N151" s="20">
        <v>7347</v>
      </c>
      <c r="O151" s="27">
        <v>5.84</v>
      </c>
      <c r="P151" s="22">
        <v>3.1600000000000003E-2</v>
      </c>
      <c r="Q151" s="20">
        <v>232</v>
      </c>
      <c r="R151" s="23">
        <v>21658.14</v>
      </c>
      <c r="S151" s="20">
        <v>2.95</v>
      </c>
      <c r="T151" s="20">
        <v>93.35</v>
      </c>
      <c r="U151" s="23">
        <v>19516.150000000001</v>
      </c>
      <c r="V151" s="22">
        <v>-9.8900000000000002E-2</v>
      </c>
      <c r="W151" s="22">
        <v>9.3200000000000005E-2</v>
      </c>
      <c r="X151" s="20" t="s">
        <v>51</v>
      </c>
    </row>
    <row r="152" spans="1:24" x14ac:dyDescent="0.25">
      <c r="A152" s="24"/>
      <c r="B152" s="25"/>
      <c r="C152" s="24"/>
      <c r="D152" s="24"/>
      <c r="E152" s="24"/>
      <c r="F152" s="24"/>
      <c r="G152" s="24"/>
      <c r="H152" s="24"/>
      <c r="I152" s="24"/>
      <c r="J152" s="24"/>
      <c r="K152" s="24"/>
      <c r="L152" s="24"/>
      <c r="M152" s="26"/>
      <c r="N152" s="26"/>
      <c r="O152" s="26"/>
      <c r="P152" s="26"/>
      <c r="Q152" s="26"/>
      <c r="R152" s="26"/>
      <c r="S152" s="26"/>
      <c r="T152" s="26"/>
      <c r="U152" s="26"/>
      <c r="V152" s="26"/>
      <c r="W152" s="26"/>
      <c r="X152" s="26"/>
    </row>
    <row r="153" spans="1:24" x14ac:dyDescent="0.25">
      <c r="A153" s="24"/>
      <c r="B153" s="25"/>
      <c r="C153" s="24"/>
      <c r="D153" s="24"/>
      <c r="E153" s="24"/>
      <c r="F153" s="24"/>
      <c r="G153" s="24"/>
      <c r="H153" s="24"/>
      <c r="I153" s="24"/>
      <c r="J153" s="24"/>
      <c r="K153" s="24"/>
      <c r="L153" s="24"/>
      <c r="M153" s="26"/>
      <c r="N153" s="26"/>
      <c r="O153" s="26"/>
      <c r="P153" s="26"/>
      <c r="Q153" s="26"/>
      <c r="R153" s="26"/>
      <c r="S153" s="26"/>
      <c r="T153" s="26"/>
      <c r="U153" s="26"/>
      <c r="V153" s="26"/>
      <c r="W153" s="26"/>
      <c r="X153" s="26"/>
    </row>
    <row r="154" spans="1:24" x14ac:dyDescent="0.25">
      <c r="A154" s="24"/>
      <c r="B154" s="25"/>
      <c r="C154" s="24"/>
      <c r="D154" s="24"/>
      <c r="E154" s="24"/>
      <c r="F154" s="24"/>
      <c r="G154" s="24"/>
      <c r="H154" s="24"/>
      <c r="I154" s="24"/>
      <c r="J154" s="24"/>
      <c r="K154" s="24"/>
      <c r="L154" s="24"/>
      <c r="M154" s="26"/>
      <c r="N154" s="26"/>
      <c r="O154" s="26"/>
      <c r="P154" s="26"/>
      <c r="Q154" s="26"/>
      <c r="R154" s="26"/>
      <c r="S154" s="26"/>
      <c r="T154" s="26"/>
      <c r="U154" s="26"/>
      <c r="V154" s="26"/>
      <c r="W154" s="26"/>
      <c r="X154" s="26"/>
    </row>
    <row r="155" spans="1:24" x14ac:dyDescent="0.25">
      <c r="A155" s="24"/>
      <c r="B155" s="25"/>
      <c r="C155" s="24"/>
      <c r="D155" s="24"/>
      <c r="E155" s="24"/>
      <c r="F155" s="24"/>
      <c r="G155" s="24"/>
      <c r="H155" s="24"/>
      <c r="I155" s="24"/>
      <c r="J155" s="24"/>
      <c r="K155" s="24"/>
      <c r="L155" s="24"/>
      <c r="M155" s="26"/>
      <c r="N155" s="26"/>
      <c r="O155" s="26"/>
      <c r="P155" s="26"/>
      <c r="Q155" s="26"/>
      <c r="R155" s="26"/>
      <c r="S155" s="26"/>
      <c r="T155" s="26"/>
      <c r="U155" s="26"/>
      <c r="V155" s="26"/>
      <c r="W155" s="26"/>
      <c r="X155" s="26"/>
    </row>
    <row r="156" spans="1:24" x14ac:dyDescent="0.25">
      <c r="A156" s="24"/>
      <c r="B156" s="25"/>
      <c r="C156" s="24"/>
      <c r="D156" s="24"/>
      <c r="E156" s="24"/>
      <c r="F156" s="24"/>
      <c r="G156" s="24"/>
      <c r="H156" s="24"/>
      <c r="I156" s="24"/>
      <c r="J156" s="24"/>
      <c r="K156" s="24"/>
      <c r="L156" s="24"/>
      <c r="M156" s="26"/>
      <c r="N156" s="26"/>
      <c r="O156" s="26"/>
      <c r="P156" s="26"/>
      <c r="Q156" s="26"/>
      <c r="R156" s="26"/>
      <c r="S156" s="26"/>
      <c r="T156" s="26"/>
      <c r="U156" s="26"/>
      <c r="V156" s="26"/>
      <c r="W156" s="26"/>
      <c r="X156" s="26"/>
    </row>
    <row r="157" spans="1:24" x14ac:dyDescent="0.25">
      <c r="A157" s="24"/>
      <c r="B157" s="25"/>
      <c r="C157" s="24"/>
      <c r="D157" s="24"/>
      <c r="E157" s="24"/>
      <c r="F157" s="24"/>
      <c r="G157" s="24"/>
      <c r="H157" s="24"/>
      <c r="I157" s="24"/>
      <c r="J157" s="24"/>
      <c r="K157" s="24"/>
      <c r="L157" s="24"/>
      <c r="M157" s="26"/>
      <c r="N157" s="26"/>
      <c r="O157" s="26"/>
      <c r="P157" s="26"/>
      <c r="Q157" s="26"/>
      <c r="R157" s="26"/>
      <c r="S157" s="26"/>
      <c r="T157" s="26"/>
      <c r="U157" s="26"/>
      <c r="V157" s="26"/>
      <c r="W157" s="26"/>
      <c r="X157" s="26"/>
    </row>
    <row r="158" spans="1:24" x14ac:dyDescent="0.25">
      <c r="A158" s="24"/>
      <c r="B158" s="25"/>
      <c r="C158" s="24"/>
      <c r="D158" s="24"/>
      <c r="E158" s="24"/>
      <c r="F158" s="24"/>
      <c r="G158" s="24"/>
      <c r="H158" s="24"/>
      <c r="I158" s="24"/>
      <c r="J158" s="24"/>
      <c r="K158" s="24"/>
      <c r="L158" s="24"/>
      <c r="M158" s="26"/>
      <c r="N158" s="26"/>
      <c r="O158" s="26"/>
      <c r="P158" s="26"/>
      <c r="Q158" s="26"/>
      <c r="R158" s="26"/>
      <c r="S158" s="26"/>
      <c r="T158" s="26"/>
      <c r="U158" s="26"/>
      <c r="V158" s="26"/>
      <c r="W158" s="26"/>
      <c r="X158" s="26"/>
    </row>
    <row r="159" spans="1:24" x14ac:dyDescent="0.25">
      <c r="A159" s="24"/>
      <c r="B159" s="25"/>
      <c r="C159" s="24"/>
      <c r="D159" s="24"/>
      <c r="E159" s="24"/>
      <c r="F159" s="24"/>
      <c r="G159" s="24"/>
      <c r="H159" s="24"/>
      <c r="I159" s="24"/>
      <c r="J159" s="24"/>
      <c r="K159" s="24"/>
      <c r="L159" s="24"/>
      <c r="M159" s="26"/>
      <c r="N159" s="26"/>
      <c r="O159" s="26"/>
      <c r="P159" s="26"/>
      <c r="Q159" s="26"/>
      <c r="R159" s="26"/>
      <c r="S159" s="26"/>
      <c r="T159" s="26"/>
      <c r="U159" s="26"/>
      <c r="V159" s="26"/>
      <c r="W159" s="26"/>
      <c r="X159" s="26"/>
    </row>
    <row r="160" spans="1:24" x14ac:dyDescent="0.25">
      <c r="A160" s="24"/>
      <c r="B160" s="25"/>
      <c r="C160" s="24"/>
      <c r="D160" s="24"/>
      <c r="E160" s="24"/>
      <c r="F160" s="24"/>
      <c r="G160" s="24"/>
      <c r="H160" s="24"/>
      <c r="I160" s="24"/>
      <c r="J160" s="24"/>
      <c r="K160" s="24"/>
      <c r="L160" s="24"/>
      <c r="M160" s="26"/>
      <c r="N160" s="26"/>
      <c r="O160" s="26"/>
      <c r="P160" s="26"/>
      <c r="Q160" s="26"/>
      <c r="R160" s="26"/>
      <c r="S160" s="26"/>
      <c r="T160" s="26"/>
      <c r="U160" s="26"/>
      <c r="V160" s="26"/>
      <c r="W160" s="26"/>
      <c r="X160" s="26"/>
    </row>
    <row r="161" spans="1:24" x14ac:dyDescent="0.25">
      <c r="A161" s="24"/>
      <c r="B161" s="25"/>
      <c r="C161" s="24"/>
      <c r="D161" s="24"/>
      <c r="E161" s="24"/>
      <c r="F161" s="24"/>
      <c r="G161" s="24"/>
      <c r="H161" s="24"/>
      <c r="I161" s="24"/>
      <c r="J161" s="24"/>
      <c r="K161" s="24"/>
      <c r="L161" s="24"/>
      <c r="M161" s="26"/>
      <c r="N161" s="26"/>
      <c r="O161" s="26"/>
      <c r="P161" s="26"/>
      <c r="Q161" s="26"/>
      <c r="R161" s="26"/>
      <c r="S161" s="26"/>
      <c r="T161" s="26"/>
      <c r="U161" s="26"/>
      <c r="V161" s="26"/>
      <c r="W161" s="26"/>
      <c r="X161" s="26"/>
    </row>
    <row r="162" spans="1:24" x14ac:dyDescent="0.25">
      <c r="A162" s="24"/>
      <c r="B162" s="25"/>
      <c r="C162" s="24"/>
      <c r="D162" s="24"/>
      <c r="E162" s="24"/>
      <c r="F162" s="24"/>
      <c r="G162" s="24"/>
      <c r="H162" s="24"/>
      <c r="I162" s="24"/>
      <c r="J162" s="24"/>
      <c r="K162" s="24"/>
      <c r="L162" s="24"/>
      <c r="M162" s="26"/>
      <c r="N162" s="26"/>
      <c r="O162" s="26"/>
      <c r="P162" s="26"/>
      <c r="Q162" s="26"/>
      <c r="R162" s="26"/>
      <c r="S162" s="26"/>
      <c r="T162" s="26"/>
      <c r="U162" s="26"/>
      <c r="V162" s="26"/>
      <c r="W162" s="26"/>
      <c r="X162" s="26"/>
    </row>
    <row r="163" spans="1:24" x14ac:dyDescent="0.25">
      <c r="A163" s="24"/>
      <c r="B163" s="25"/>
      <c r="C163" s="24"/>
      <c r="D163" s="24"/>
      <c r="E163" s="24"/>
      <c r="F163" s="24"/>
      <c r="G163" s="24"/>
      <c r="H163" s="24"/>
      <c r="I163" s="24"/>
      <c r="J163" s="24"/>
      <c r="K163" s="24"/>
      <c r="L163" s="24"/>
      <c r="M163" s="26"/>
      <c r="N163" s="26"/>
      <c r="O163" s="26"/>
      <c r="P163" s="26"/>
      <c r="Q163" s="26"/>
      <c r="R163" s="26"/>
      <c r="S163" s="26"/>
      <c r="T163" s="26"/>
      <c r="U163" s="26"/>
      <c r="V163" s="26"/>
      <c r="W163" s="26"/>
      <c r="X163" s="26"/>
    </row>
    <row r="164" spans="1:24" x14ac:dyDescent="0.25">
      <c r="A164" s="24"/>
      <c r="B164" s="25"/>
      <c r="C164" s="24"/>
      <c r="D164" s="24"/>
      <c r="E164" s="24"/>
      <c r="F164" s="24"/>
      <c r="G164" s="24"/>
      <c r="H164" s="24"/>
      <c r="I164" s="24"/>
      <c r="J164" s="24"/>
      <c r="K164" s="24"/>
      <c r="L164" s="24"/>
      <c r="M164" s="26"/>
      <c r="N164" s="26"/>
      <c r="O164" s="26"/>
      <c r="P164" s="26"/>
      <c r="Q164" s="26"/>
      <c r="R164" s="26"/>
      <c r="S164" s="26"/>
      <c r="T164" s="26"/>
      <c r="U164" s="26"/>
      <c r="V164" s="26"/>
      <c r="W164" s="26"/>
      <c r="X164" s="26"/>
    </row>
    <row r="165" spans="1:24" x14ac:dyDescent="0.25">
      <c r="A165" s="24"/>
      <c r="B165" s="25"/>
      <c r="C165" s="24"/>
      <c r="D165" s="24"/>
      <c r="E165" s="24"/>
      <c r="F165" s="24"/>
      <c r="G165" s="24"/>
      <c r="H165" s="24"/>
      <c r="I165" s="24"/>
      <c r="J165" s="24"/>
      <c r="K165" s="24"/>
      <c r="L165" s="24"/>
      <c r="M165" s="26"/>
      <c r="N165" s="26"/>
      <c r="O165" s="26"/>
      <c r="P165" s="26"/>
      <c r="Q165" s="26"/>
      <c r="R165" s="26"/>
      <c r="S165" s="26"/>
      <c r="T165" s="26"/>
      <c r="U165" s="26"/>
      <c r="V165" s="26"/>
      <c r="W165" s="26"/>
      <c r="X165" s="26"/>
    </row>
    <row r="166" spans="1:24" x14ac:dyDescent="0.25">
      <c r="A166" s="24"/>
      <c r="B166" s="25"/>
      <c r="C166" s="24"/>
      <c r="D166" s="24"/>
      <c r="E166" s="24"/>
      <c r="F166" s="24"/>
      <c r="G166" s="24"/>
      <c r="H166" s="24"/>
      <c r="I166" s="24"/>
      <c r="J166" s="24"/>
      <c r="K166" s="24"/>
      <c r="L166" s="24"/>
      <c r="M166" s="26"/>
      <c r="N166" s="26"/>
      <c r="O166" s="26"/>
      <c r="P166" s="26"/>
      <c r="Q166" s="26"/>
      <c r="R166" s="26"/>
      <c r="S166" s="26"/>
      <c r="T166" s="26"/>
      <c r="U166" s="26"/>
      <c r="V166" s="26"/>
      <c r="W166" s="26"/>
      <c r="X166" s="26"/>
    </row>
    <row r="167" spans="1:24" x14ac:dyDescent="0.25">
      <c r="A167" s="24"/>
      <c r="B167" s="25"/>
      <c r="C167" s="24"/>
      <c r="D167" s="24"/>
      <c r="E167" s="24"/>
      <c r="F167" s="24"/>
      <c r="G167" s="24"/>
      <c r="H167" s="24"/>
      <c r="I167" s="24"/>
      <c r="J167" s="24"/>
      <c r="K167" s="24"/>
      <c r="L167" s="24"/>
      <c r="M167" s="26"/>
      <c r="N167" s="26"/>
      <c r="O167" s="26"/>
      <c r="P167" s="26"/>
      <c r="Q167" s="26"/>
      <c r="R167" s="26"/>
      <c r="S167" s="26"/>
      <c r="T167" s="26"/>
      <c r="U167" s="26"/>
      <c r="V167" s="26"/>
      <c r="W167" s="26"/>
      <c r="X167" s="26"/>
    </row>
    <row r="168" spans="1:24" x14ac:dyDescent="0.25">
      <c r="A168" s="24"/>
      <c r="B168" s="25"/>
      <c r="C168" s="24"/>
      <c r="D168" s="24"/>
      <c r="E168" s="24"/>
      <c r="F168" s="24"/>
      <c r="G168" s="24"/>
      <c r="H168" s="24"/>
      <c r="I168" s="24"/>
      <c r="J168" s="24"/>
      <c r="K168" s="24"/>
      <c r="L168" s="24"/>
      <c r="M168" s="26"/>
      <c r="N168" s="26"/>
      <c r="O168" s="26"/>
      <c r="P168" s="26"/>
      <c r="Q168" s="26"/>
      <c r="R168" s="26"/>
      <c r="S168" s="26"/>
      <c r="T168" s="26"/>
      <c r="U168" s="26"/>
      <c r="V168" s="26"/>
      <c r="W168" s="26"/>
      <c r="X168" s="26"/>
    </row>
    <row r="169" spans="1:24" x14ac:dyDescent="0.25">
      <c r="A169" s="24"/>
      <c r="B169" s="25"/>
      <c r="C169" s="24"/>
      <c r="D169" s="24"/>
      <c r="E169" s="24"/>
      <c r="F169" s="24"/>
      <c r="G169" s="24"/>
      <c r="H169" s="24"/>
      <c r="I169" s="24"/>
      <c r="J169" s="24"/>
      <c r="K169" s="24"/>
      <c r="L169" s="24"/>
      <c r="M169" s="26"/>
      <c r="N169" s="26"/>
      <c r="O169" s="26"/>
      <c r="P169" s="26"/>
      <c r="Q169" s="26"/>
      <c r="R169" s="26"/>
      <c r="S169" s="26"/>
      <c r="T169" s="26"/>
      <c r="U169" s="26"/>
      <c r="V169" s="26"/>
      <c r="W169" s="26"/>
      <c r="X169" s="26"/>
    </row>
    <row r="170" spans="1:24" x14ac:dyDescent="0.25">
      <c r="A170" s="24"/>
      <c r="B170" s="25"/>
      <c r="C170" s="24"/>
      <c r="D170" s="24"/>
      <c r="E170" s="24"/>
      <c r="F170" s="24"/>
      <c r="G170" s="24"/>
      <c r="H170" s="24"/>
      <c r="I170" s="24"/>
      <c r="J170" s="24"/>
      <c r="K170" s="24"/>
      <c r="L170" s="24"/>
      <c r="M170" s="26"/>
      <c r="N170" s="26"/>
      <c r="O170" s="26"/>
      <c r="P170" s="26"/>
      <c r="Q170" s="26"/>
      <c r="R170" s="26"/>
      <c r="S170" s="26"/>
      <c r="T170" s="26"/>
      <c r="U170" s="26"/>
      <c r="V170" s="26"/>
      <c r="W170" s="26"/>
      <c r="X170" s="26"/>
    </row>
    <row r="171" spans="1:24" x14ac:dyDescent="0.25">
      <c r="A171" s="24"/>
      <c r="B171" s="25"/>
      <c r="C171" s="24"/>
      <c r="D171" s="24"/>
      <c r="E171" s="24"/>
      <c r="F171" s="24"/>
      <c r="G171" s="24"/>
      <c r="H171" s="24"/>
      <c r="I171" s="24"/>
      <c r="J171" s="24"/>
      <c r="K171" s="24"/>
      <c r="L171" s="24"/>
      <c r="M171" s="26"/>
      <c r="N171" s="26"/>
      <c r="O171" s="26"/>
      <c r="P171" s="26"/>
      <c r="Q171" s="26"/>
      <c r="R171" s="26"/>
      <c r="S171" s="26"/>
      <c r="T171" s="26"/>
      <c r="U171" s="26"/>
      <c r="V171" s="26"/>
      <c r="W171" s="26"/>
      <c r="X171" s="26"/>
    </row>
    <row r="172" spans="1:24" x14ac:dyDescent="0.25">
      <c r="A172" s="24"/>
      <c r="B172" s="25"/>
      <c r="C172" s="24"/>
      <c r="D172" s="24"/>
      <c r="E172" s="24"/>
      <c r="F172" s="24"/>
      <c r="G172" s="24"/>
      <c r="H172" s="24"/>
      <c r="I172" s="24"/>
      <c r="J172" s="24"/>
      <c r="K172" s="24"/>
      <c r="L172" s="24"/>
      <c r="M172" s="26"/>
      <c r="N172" s="26"/>
      <c r="O172" s="26"/>
      <c r="P172" s="26"/>
      <c r="Q172" s="26"/>
      <c r="R172" s="26"/>
      <c r="S172" s="26"/>
      <c r="T172" s="26"/>
      <c r="U172" s="26"/>
      <c r="V172" s="26"/>
      <c r="W172" s="26"/>
      <c r="X172" s="26"/>
    </row>
    <row r="173" spans="1:24" x14ac:dyDescent="0.25">
      <c r="A173" s="24"/>
      <c r="B173" s="25"/>
      <c r="C173" s="24"/>
      <c r="D173" s="24"/>
      <c r="E173" s="24"/>
      <c r="F173" s="24"/>
      <c r="G173" s="24"/>
      <c r="H173" s="24"/>
      <c r="I173" s="24"/>
      <c r="J173" s="24"/>
      <c r="K173" s="24"/>
      <c r="L173" s="24"/>
      <c r="M173" s="26"/>
      <c r="N173" s="26"/>
      <c r="O173" s="26"/>
      <c r="P173" s="26"/>
      <c r="Q173" s="26"/>
      <c r="R173" s="26"/>
      <c r="S173" s="26"/>
      <c r="T173" s="26"/>
      <c r="U173" s="26"/>
      <c r="V173" s="26"/>
      <c r="W173" s="26"/>
      <c r="X173" s="26"/>
    </row>
    <row r="174" spans="1:24" x14ac:dyDescent="0.25">
      <c r="A174" s="24"/>
      <c r="B174" s="25"/>
      <c r="C174" s="24"/>
      <c r="D174" s="24"/>
      <c r="E174" s="24"/>
      <c r="F174" s="24"/>
      <c r="G174" s="24"/>
      <c r="H174" s="24"/>
      <c r="I174" s="24"/>
      <c r="J174" s="24"/>
      <c r="K174" s="24"/>
      <c r="L174" s="24"/>
      <c r="M174" s="26"/>
      <c r="N174" s="26"/>
      <c r="O174" s="26"/>
      <c r="P174" s="26"/>
      <c r="Q174" s="26"/>
      <c r="R174" s="26"/>
      <c r="S174" s="26"/>
      <c r="T174" s="26"/>
      <c r="U174" s="26"/>
      <c r="V174" s="26"/>
      <c r="W174" s="26"/>
      <c r="X174" s="26"/>
    </row>
    <row r="175" spans="1:24" x14ac:dyDescent="0.25">
      <c r="A175" s="24"/>
      <c r="B175" s="25"/>
      <c r="C175" s="24"/>
      <c r="D175" s="24"/>
      <c r="E175" s="24"/>
      <c r="F175" s="24"/>
      <c r="G175" s="24"/>
      <c r="H175" s="24"/>
      <c r="I175" s="24"/>
      <c r="J175" s="24"/>
      <c r="K175" s="24"/>
      <c r="L175" s="24"/>
      <c r="M175" s="26"/>
      <c r="N175" s="26"/>
      <c r="O175" s="26"/>
      <c r="P175" s="26"/>
      <c r="Q175" s="26"/>
      <c r="R175" s="26"/>
      <c r="S175" s="26"/>
      <c r="T175" s="26"/>
      <c r="U175" s="26"/>
      <c r="V175" s="26"/>
      <c r="W175" s="26"/>
      <c r="X175" s="26"/>
    </row>
    <row r="176" spans="1:24" x14ac:dyDescent="0.25">
      <c r="A176" s="24"/>
      <c r="B176" s="25"/>
      <c r="C176" s="24"/>
      <c r="D176" s="24"/>
      <c r="E176" s="24"/>
      <c r="F176" s="24"/>
      <c r="G176" s="24"/>
      <c r="H176" s="24"/>
      <c r="I176" s="24"/>
      <c r="J176" s="24"/>
      <c r="K176" s="24"/>
      <c r="L176" s="24"/>
      <c r="M176" s="26"/>
      <c r="N176" s="26"/>
      <c r="O176" s="26"/>
      <c r="P176" s="26"/>
      <c r="Q176" s="26"/>
      <c r="R176" s="26"/>
      <c r="S176" s="26"/>
      <c r="T176" s="26"/>
      <c r="U176" s="26"/>
      <c r="V176" s="26"/>
      <c r="W176" s="26"/>
      <c r="X176" s="26"/>
    </row>
    <row r="177" spans="1:24" x14ac:dyDescent="0.25">
      <c r="A177" s="24"/>
      <c r="B177" s="25"/>
      <c r="C177" s="24"/>
      <c r="D177" s="24"/>
      <c r="E177" s="24"/>
      <c r="F177" s="24"/>
      <c r="G177" s="24"/>
      <c r="H177" s="24"/>
      <c r="I177" s="24"/>
      <c r="J177" s="24"/>
      <c r="K177" s="24"/>
      <c r="L177" s="24"/>
      <c r="M177" s="26"/>
      <c r="N177" s="26"/>
      <c r="O177" s="26"/>
      <c r="P177" s="26"/>
      <c r="Q177" s="26"/>
      <c r="R177" s="26"/>
      <c r="S177" s="26"/>
      <c r="T177" s="26"/>
      <c r="U177" s="26"/>
      <c r="V177" s="26"/>
      <c r="W177" s="26"/>
      <c r="X177" s="26"/>
    </row>
    <row r="178" spans="1:24" x14ac:dyDescent="0.25">
      <c r="A178" s="24"/>
      <c r="B178" s="25"/>
      <c r="C178" s="24"/>
      <c r="D178" s="24"/>
      <c r="E178" s="24"/>
      <c r="F178" s="24"/>
      <c r="G178" s="24"/>
      <c r="H178" s="24"/>
      <c r="I178" s="24"/>
      <c r="J178" s="24"/>
      <c r="K178" s="24"/>
      <c r="L178" s="24"/>
      <c r="M178" s="26"/>
      <c r="N178" s="26"/>
      <c r="O178" s="26"/>
      <c r="P178" s="26"/>
      <c r="Q178" s="26"/>
      <c r="R178" s="26"/>
      <c r="S178" s="26"/>
      <c r="T178" s="26"/>
      <c r="U178" s="26"/>
      <c r="V178" s="26"/>
      <c r="W178" s="26"/>
      <c r="X178" s="26"/>
    </row>
    <row r="179" spans="1:24" x14ac:dyDescent="0.25">
      <c r="A179" s="24"/>
      <c r="B179" s="25"/>
      <c r="C179" s="24"/>
      <c r="D179" s="24"/>
      <c r="E179" s="24"/>
      <c r="F179" s="24"/>
      <c r="G179" s="24"/>
      <c r="H179" s="24"/>
      <c r="I179" s="24"/>
      <c r="J179" s="24"/>
      <c r="K179" s="24"/>
      <c r="L179" s="24"/>
      <c r="M179" s="26"/>
      <c r="N179" s="26"/>
      <c r="O179" s="26"/>
      <c r="P179" s="26"/>
      <c r="Q179" s="26"/>
      <c r="R179" s="26"/>
      <c r="S179" s="26"/>
      <c r="T179" s="26"/>
      <c r="U179" s="26"/>
      <c r="V179" s="26"/>
      <c r="W179" s="26"/>
      <c r="X179" s="26"/>
    </row>
    <row r="180" spans="1:24" x14ac:dyDescent="0.25">
      <c r="A180" s="24"/>
      <c r="B180" s="25"/>
      <c r="C180" s="24"/>
      <c r="D180" s="24"/>
      <c r="E180" s="24"/>
      <c r="F180" s="24"/>
      <c r="G180" s="24"/>
      <c r="H180" s="24"/>
      <c r="I180" s="24"/>
      <c r="J180" s="24"/>
      <c r="K180" s="24"/>
      <c r="L180" s="24"/>
      <c r="M180" s="26"/>
      <c r="N180" s="26"/>
      <c r="O180" s="26"/>
      <c r="P180" s="26"/>
      <c r="Q180" s="26"/>
      <c r="R180" s="26"/>
      <c r="S180" s="26"/>
      <c r="T180" s="26"/>
      <c r="U180" s="26"/>
      <c r="V180" s="26"/>
      <c r="W180" s="26"/>
      <c r="X180" s="26"/>
    </row>
    <row r="181" spans="1:24" x14ac:dyDescent="0.25">
      <c r="A181" s="24"/>
      <c r="B181" s="25"/>
      <c r="C181" s="24"/>
      <c r="D181" s="24"/>
      <c r="E181" s="24"/>
      <c r="F181" s="24"/>
      <c r="G181" s="24"/>
      <c r="H181" s="24"/>
      <c r="I181" s="24"/>
      <c r="J181" s="24"/>
      <c r="K181" s="24"/>
      <c r="L181" s="24"/>
      <c r="M181" s="26"/>
      <c r="N181" s="26"/>
      <c r="O181" s="26"/>
      <c r="P181" s="26"/>
      <c r="Q181" s="26"/>
      <c r="R181" s="26"/>
      <c r="S181" s="26"/>
      <c r="T181" s="26"/>
      <c r="U181" s="26"/>
      <c r="V181" s="26"/>
      <c r="W181" s="26"/>
      <c r="X181" s="26"/>
    </row>
    <row r="182" spans="1:24" x14ac:dyDescent="0.25">
      <c r="A182" s="24"/>
      <c r="B182" s="25"/>
      <c r="C182" s="24"/>
      <c r="D182" s="24"/>
      <c r="E182" s="24"/>
      <c r="F182" s="24"/>
      <c r="G182" s="24"/>
      <c r="H182" s="24"/>
      <c r="I182" s="24"/>
      <c r="J182" s="24"/>
      <c r="K182" s="24"/>
      <c r="L182" s="24"/>
      <c r="M182" s="26"/>
      <c r="N182" s="26"/>
      <c r="O182" s="26"/>
      <c r="P182" s="26"/>
      <c r="Q182" s="26"/>
      <c r="R182" s="26"/>
      <c r="S182" s="26"/>
      <c r="T182" s="26"/>
      <c r="U182" s="26"/>
      <c r="V182" s="26"/>
      <c r="W182" s="26"/>
      <c r="X182" s="26"/>
    </row>
    <row r="183" spans="1:24" x14ac:dyDescent="0.25">
      <c r="A183" s="24"/>
      <c r="B183" s="25"/>
      <c r="C183" s="24"/>
      <c r="D183" s="24"/>
      <c r="E183" s="24"/>
      <c r="F183" s="24"/>
      <c r="G183" s="24"/>
      <c r="H183" s="24"/>
      <c r="I183" s="24"/>
      <c r="J183" s="24"/>
      <c r="K183" s="24"/>
      <c r="L183" s="24"/>
      <c r="M183" s="26"/>
      <c r="N183" s="26"/>
      <c r="O183" s="26"/>
      <c r="P183" s="26"/>
      <c r="Q183" s="26"/>
      <c r="R183" s="26"/>
      <c r="S183" s="26"/>
      <c r="T183" s="26"/>
      <c r="U183" s="26"/>
      <c r="V183" s="26"/>
      <c r="W183" s="26"/>
      <c r="X183" s="26"/>
    </row>
    <row r="184" spans="1:24" x14ac:dyDescent="0.25">
      <c r="A184" s="24"/>
      <c r="B184" s="25"/>
      <c r="C184" s="24"/>
      <c r="D184" s="24"/>
      <c r="E184" s="24"/>
      <c r="F184" s="24"/>
      <c r="G184" s="24"/>
      <c r="H184" s="24"/>
      <c r="I184" s="24"/>
      <c r="J184" s="24"/>
      <c r="K184" s="24"/>
      <c r="L184" s="24"/>
      <c r="M184" s="26"/>
      <c r="N184" s="26"/>
      <c r="O184" s="26"/>
      <c r="P184" s="26"/>
      <c r="Q184" s="26"/>
      <c r="R184" s="26"/>
      <c r="S184" s="26"/>
      <c r="T184" s="26"/>
      <c r="U184" s="26"/>
      <c r="V184" s="26"/>
      <c r="W184" s="26"/>
      <c r="X184" s="26"/>
    </row>
    <row r="185" spans="1:24" x14ac:dyDescent="0.25">
      <c r="A185" s="24"/>
      <c r="B185" s="25"/>
      <c r="C185" s="24"/>
      <c r="D185" s="24"/>
      <c r="E185" s="24"/>
      <c r="F185" s="24"/>
      <c r="G185" s="24"/>
      <c r="H185" s="24"/>
      <c r="I185" s="24"/>
      <c r="J185" s="24"/>
      <c r="K185" s="24"/>
      <c r="L185" s="24"/>
      <c r="M185" s="26"/>
      <c r="N185" s="26"/>
      <c r="O185" s="26"/>
      <c r="P185" s="26"/>
      <c r="Q185" s="26"/>
      <c r="R185" s="26"/>
      <c r="S185" s="26"/>
      <c r="T185" s="26"/>
      <c r="U185" s="26"/>
      <c r="V185" s="26"/>
      <c r="W185" s="26"/>
      <c r="X185" s="26"/>
    </row>
    <row r="186" spans="1:24" x14ac:dyDescent="0.25">
      <c r="A186" s="24"/>
      <c r="B186" s="25"/>
      <c r="C186" s="24"/>
      <c r="D186" s="24"/>
      <c r="E186" s="24"/>
      <c r="F186" s="24"/>
      <c r="G186" s="24"/>
      <c r="H186" s="24"/>
      <c r="I186" s="24"/>
      <c r="J186" s="24"/>
      <c r="K186" s="24"/>
      <c r="L186" s="24"/>
      <c r="M186" s="26"/>
      <c r="N186" s="26"/>
      <c r="O186" s="26"/>
      <c r="P186" s="26"/>
      <c r="Q186" s="26"/>
      <c r="R186" s="26"/>
      <c r="S186" s="26"/>
      <c r="T186" s="26"/>
      <c r="U186" s="26"/>
      <c r="V186" s="26"/>
      <c r="W186" s="26"/>
      <c r="X186" s="26"/>
    </row>
    <row r="187" spans="1:24" x14ac:dyDescent="0.25">
      <c r="A187" s="24"/>
      <c r="B187" s="25"/>
      <c r="C187" s="24"/>
      <c r="D187" s="24"/>
      <c r="E187" s="24"/>
      <c r="F187" s="24"/>
      <c r="G187" s="24"/>
      <c r="H187" s="24"/>
      <c r="I187" s="24"/>
      <c r="J187" s="24"/>
      <c r="K187" s="24"/>
      <c r="L187" s="24"/>
      <c r="M187" s="26"/>
      <c r="N187" s="26"/>
      <c r="O187" s="26"/>
      <c r="P187" s="26"/>
      <c r="Q187" s="26"/>
      <c r="R187" s="26"/>
      <c r="S187" s="26"/>
      <c r="T187" s="26"/>
      <c r="U187" s="26"/>
      <c r="V187" s="26"/>
      <c r="W187" s="26"/>
      <c r="X187" s="26"/>
    </row>
    <row r="188" spans="1:24" x14ac:dyDescent="0.25">
      <c r="A188" s="24"/>
      <c r="B188" s="25"/>
      <c r="C188" s="24"/>
      <c r="D188" s="24"/>
      <c r="E188" s="24"/>
      <c r="F188" s="24"/>
      <c r="G188" s="24"/>
      <c r="H188" s="24"/>
      <c r="I188" s="24"/>
      <c r="J188" s="24"/>
      <c r="K188" s="24"/>
      <c r="L188" s="24"/>
      <c r="M188" s="26"/>
      <c r="N188" s="26"/>
      <c r="O188" s="26"/>
      <c r="P188" s="26"/>
      <c r="Q188" s="26"/>
      <c r="R188" s="26"/>
      <c r="S188" s="26"/>
      <c r="T188" s="26"/>
      <c r="U188" s="26"/>
      <c r="V188" s="26"/>
      <c r="W188" s="26"/>
      <c r="X188" s="26"/>
    </row>
    <row r="189" spans="1:24" x14ac:dyDescent="0.25">
      <c r="A189" s="24"/>
      <c r="B189" s="25"/>
      <c r="C189" s="24"/>
      <c r="D189" s="24"/>
      <c r="E189" s="24"/>
      <c r="F189" s="24"/>
      <c r="G189" s="24"/>
      <c r="H189" s="24"/>
      <c r="I189" s="24"/>
      <c r="J189" s="24"/>
      <c r="K189" s="24"/>
      <c r="L189" s="24"/>
      <c r="M189" s="26"/>
      <c r="N189" s="26"/>
      <c r="O189" s="26"/>
      <c r="P189" s="26"/>
      <c r="Q189" s="26"/>
      <c r="R189" s="26"/>
      <c r="S189" s="26"/>
      <c r="T189" s="26"/>
      <c r="U189" s="26"/>
      <c r="V189" s="26"/>
      <c r="W189" s="26"/>
      <c r="X189" s="26"/>
    </row>
    <row r="190" spans="1:24" x14ac:dyDescent="0.25">
      <c r="A190" s="24"/>
      <c r="B190" s="25"/>
      <c r="C190" s="24"/>
      <c r="D190" s="24"/>
      <c r="E190" s="24"/>
      <c r="F190" s="24"/>
      <c r="G190" s="24"/>
      <c r="H190" s="24"/>
      <c r="I190" s="24"/>
      <c r="J190" s="24"/>
      <c r="K190" s="24"/>
      <c r="L190" s="24"/>
      <c r="M190" s="26"/>
      <c r="N190" s="26"/>
      <c r="O190" s="26"/>
      <c r="P190" s="26"/>
      <c r="Q190" s="26"/>
      <c r="R190" s="26"/>
      <c r="S190" s="26"/>
      <c r="T190" s="26"/>
      <c r="U190" s="26"/>
      <c r="V190" s="26"/>
      <c r="W190" s="26"/>
      <c r="X190" s="26"/>
    </row>
    <row r="191" spans="1:24" x14ac:dyDescent="0.25">
      <c r="A191" s="24"/>
      <c r="B191" s="25"/>
      <c r="C191" s="24"/>
      <c r="D191" s="24"/>
      <c r="E191" s="24"/>
      <c r="F191" s="24"/>
      <c r="G191" s="24"/>
      <c r="H191" s="24"/>
      <c r="I191" s="24"/>
      <c r="J191" s="24"/>
      <c r="K191" s="24"/>
      <c r="L191" s="24"/>
      <c r="M191" s="26"/>
      <c r="N191" s="26"/>
      <c r="O191" s="26"/>
      <c r="P191" s="26"/>
      <c r="Q191" s="26"/>
      <c r="R191" s="26"/>
      <c r="S191" s="26"/>
      <c r="T191" s="26"/>
      <c r="U191" s="26"/>
      <c r="V191" s="26"/>
      <c r="W191" s="26"/>
      <c r="X191" s="26"/>
    </row>
    <row r="192" spans="1:24" x14ac:dyDescent="0.25">
      <c r="A192" s="24"/>
      <c r="B192" s="25"/>
      <c r="C192" s="24"/>
      <c r="D192" s="24"/>
      <c r="E192" s="24"/>
      <c r="F192" s="24"/>
      <c r="G192" s="24"/>
      <c r="H192" s="24"/>
      <c r="I192" s="24"/>
      <c r="J192" s="24"/>
      <c r="K192" s="24"/>
      <c r="L192" s="24"/>
      <c r="M192" s="26"/>
      <c r="N192" s="26"/>
      <c r="O192" s="26"/>
      <c r="P192" s="26"/>
      <c r="Q192" s="26"/>
      <c r="R192" s="26"/>
      <c r="S192" s="26"/>
      <c r="T192" s="26"/>
      <c r="U192" s="26"/>
      <c r="V192" s="26"/>
      <c r="W192" s="26"/>
      <c r="X192" s="26"/>
    </row>
    <row r="193" spans="1:24" x14ac:dyDescent="0.25">
      <c r="A193" s="24"/>
      <c r="B193" s="25"/>
      <c r="C193" s="24"/>
      <c r="D193" s="24"/>
      <c r="E193" s="24"/>
      <c r="F193" s="24"/>
      <c r="G193" s="24"/>
      <c r="H193" s="24"/>
      <c r="I193" s="24"/>
      <c r="J193" s="24"/>
      <c r="K193" s="24"/>
      <c r="L193" s="24"/>
      <c r="M193" s="26"/>
      <c r="N193" s="26"/>
      <c r="O193" s="26"/>
      <c r="P193" s="26"/>
      <c r="Q193" s="26"/>
      <c r="R193" s="26"/>
      <c r="S193" s="26"/>
      <c r="T193" s="26"/>
      <c r="U193" s="26"/>
      <c r="V193" s="26"/>
      <c r="W193" s="26"/>
      <c r="X193" s="26"/>
    </row>
    <row r="194" spans="1:24" x14ac:dyDescent="0.25">
      <c r="A194" s="24"/>
      <c r="B194" s="25"/>
      <c r="C194" s="24"/>
      <c r="D194" s="24"/>
      <c r="E194" s="24"/>
      <c r="F194" s="24"/>
      <c r="G194" s="24"/>
      <c r="H194" s="24"/>
      <c r="I194" s="24"/>
      <c r="J194" s="24"/>
      <c r="K194" s="24"/>
      <c r="L194" s="24"/>
      <c r="M194" s="26"/>
      <c r="N194" s="26"/>
      <c r="O194" s="26"/>
      <c r="P194" s="26"/>
      <c r="Q194" s="26"/>
      <c r="R194" s="26"/>
      <c r="S194" s="26"/>
      <c r="T194" s="26"/>
      <c r="U194" s="26"/>
      <c r="V194" s="26"/>
      <c r="W194" s="26"/>
      <c r="X194" s="26"/>
    </row>
    <row r="195" spans="1:24" x14ac:dyDescent="0.25">
      <c r="A195" s="24"/>
      <c r="B195" s="25"/>
      <c r="C195" s="24"/>
      <c r="D195" s="24"/>
      <c r="E195" s="24"/>
      <c r="F195" s="24"/>
      <c r="G195" s="24"/>
      <c r="H195" s="24"/>
      <c r="I195" s="24"/>
      <c r="J195" s="24"/>
      <c r="K195" s="24"/>
      <c r="L195" s="24"/>
      <c r="M195" s="26"/>
      <c r="N195" s="26"/>
      <c r="O195" s="26"/>
      <c r="P195" s="26"/>
      <c r="Q195" s="26"/>
      <c r="R195" s="26"/>
      <c r="S195" s="26"/>
      <c r="T195" s="26"/>
      <c r="U195" s="26"/>
      <c r="V195" s="26"/>
      <c r="W195" s="26"/>
      <c r="X195" s="26"/>
    </row>
    <row r="196" spans="1:24" x14ac:dyDescent="0.25">
      <c r="A196" s="24"/>
      <c r="B196" s="25"/>
      <c r="C196" s="24"/>
      <c r="D196" s="24"/>
      <c r="E196" s="24"/>
      <c r="F196" s="24"/>
      <c r="G196" s="24"/>
      <c r="H196" s="24"/>
      <c r="I196" s="24"/>
      <c r="J196" s="24"/>
      <c r="K196" s="24"/>
      <c r="L196" s="24"/>
      <c r="M196" s="26"/>
      <c r="N196" s="26"/>
      <c r="O196" s="26"/>
      <c r="P196" s="26"/>
      <c r="Q196" s="26"/>
      <c r="R196" s="26"/>
      <c r="S196" s="26"/>
      <c r="T196" s="26"/>
      <c r="U196" s="26"/>
      <c r="V196" s="26"/>
      <c r="W196" s="26"/>
      <c r="X196" s="26"/>
    </row>
    <row r="197" spans="1:24" x14ac:dyDescent="0.25">
      <c r="A197" s="24"/>
      <c r="B197" s="25"/>
      <c r="C197" s="24"/>
      <c r="D197" s="24"/>
      <c r="E197" s="24"/>
      <c r="F197" s="24"/>
      <c r="G197" s="24"/>
      <c r="H197" s="24"/>
      <c r="I197" s="24"/>
      <c r="J197" s="24"/>
      <c r="K197" s="24"/>
      <c r="L197" s="24"/>
      <c r="M197" s="26"/>
      <c r="N197" s="26"/>
      <c r="O197" s="26"/>
      <c r="P197" s="26"/>
      <c r="Q197" s="26"/>
      <c r="R197" s="26"/>
      <c r="S197" s="26"/>
      <c r="T197" s="26"/>
      <c r="U197" s="26"/>
      <c r="V197" s="26"/>
      <c r="W197" s="26"/>
      <c r="X197" s="26"/>
    </row>
    <row r="198" spans="1:24" x14ac:dyDescent="0.25">
      <c r="A198" s="24"/>
      <c r="B198" s="25"/>
      <c r="C198" s="24"/>
      <c r="D198" s="24"/>
      <c r="E198" s="24"/>
      <c r="F198" s="24"/>
      <c r="G198" s="24"/>
      <c r="H198" s="24"/>
      <c r="I198" s="24"/>
      <c r="J198" s="24"/>
      <c r="K198" s="24"/>
      <c r="L198" s="24"/>
      <c r="M198" s="26"/>
      <c r="N198" s="26"/>
      <c r="O198" s="26"/>
      <c r="P198" s="26"/>
      <c r="Q198" s="26"/>
      <c r="R198" s="26"/>
      <c r="S198" s="26"/>
      <c r="T198" s="26"/>
      <c r="U198" s="26"/>
      <c r="V198" s="26"/>
      <c r="W198" s="26"/>
      <c r="X198" s="26"/>
    </row>
    <row r="199" spans="1:24" x14ac:dyDescent="0.25">
      <c r="A199" s="24"/>
      <c r="B199" s="25"/>
      <c r="C199" s="24"/>
      <c r="D199" s="24"/>
      <c r="E199" s="24"/>
      <c r="F199" s="24"/>
      <c r="G199" s="24"/>
      <c r="H199" s="24"/>
      <c r="I199" s="24"/>
      <c r="J199" s="24"/>
      <c r="K199" s="24"/>
      <c r="L199" s="24"/>
      <c r="M199" s="26"/>
      <c r="N199" s="26"/>
      <c r="O199" s="26"/>
      <c r="P199" s="26"/>
      <c r="Q199" s="26"/>
      <c r="R199" s="26"/>
      <c r="S199" s="26"/>
      <c r="T199" s="26"/>
      <c r="U199" s="26"/>
      <c r="V199" s="26"/>
      <c r="W199" s="26"/>
      <c r="X199" s="26"/>
    </row>
    <row r="200" spans="1:24" x14ac:dyDescent="0.25">
      <c r="A200" s="24"/>
      <c r="B200" s="25"/>
      <c r="C200" s="24"/>
      <c r="D200" s="24"/>
      <c r="E200" s="24"/>
      <c r="F200" s="24"/>
      <c r="G200" s="24"/>
      <c r="H200" s="24"/>
      <c r="I200" s="24"/>
      <c r="J200" s="24"/>
      <c r="K200" s="24"/>
      <c r="L200" s="24"/>
      <c r="M200" s="26"/>
      <c r="N200" s="26"/>
      <c r="O200" s="26"/>
      <c r="P200" s="26"/>
      <c r="Q200" s="26"/>
      <c r="R200" s="26"/>
      <c r="S200" s="26"/>
      <c r="T200" s="26"/>
      <c r="U200" s="26"/>
      <c r="V200" s="26"/>
      <c r="W200" s="26"/>
      <c r="X200" s="26"/>
    </row>
    <row r="201" spans="1:24" x14ac:dyDescent="0.25">
      <c r="A201" s="24"/>
      <c r="B201" s="25"/>
      <c r="C201" s="24"/>
      <c r="D201" s="24"/>
      <c r="E201" s="24"/>
      <c r="F201" s="24"/>
      <c r="G201" s="24"/>
      <c r="H201" s="24"/>
      <c r="I201" s="24"/>
      <c r="J201" s="24"/>
      <c r="K201" s="24"/>
      <c r="L201" s="24"/>
      <c r="M201" s="26"/>
      <c r="N201" s="26"/>
      <c r="O201" s="26"/>
      <c r="P201" s="26"/>
      <c r="Q201" s="26"/>
      <c r="R201" s="26"/>
      <c r="S201" s="26"/>
      <c r="T201" s="26"/>
      <c r="U201" s="26"/>
      <c r="V201" s="26"/>
      <c r="W201" s="26"/>
      <c r="X201" s="26"/>
    </row>
    <row r="202" spans="1:24" x14ac:dyDescent="0.25">
      <c r="A202" s="24"/>
      <c r="B202" s="25"/>
      <c r="C202" s="24"/>
      <c r="D202" s="24"/>
      <c r="E202" s="24"/>
      <c r="F202" s="24"/>
      <c r="G202" s="24"/>
      <c r="H202" s="24"/>
      <c r="I202" s="24"/>
      <c r="J202" s="24"/>
      <c r="K202" s="24"/>
      <c r="L202" s="24"/>
      <c r="M202" s="26"/>
      <c r="N202" s="26"/>
      <c r="O202" s="26"/>
      <c r="P202" s="26"/>
      <c r="Q202" s="26"/>
      <c r="R202" s="26"/>
      <c r="S202" s="26"/>
      <c r="T202" s="26"/>
      <c r="U202" s="26"/>
      <c r="V202" s="26"/>
      <c r="W202" s="26"/>
      <c r="X202" s="26"/>
    </row>
    <row r="203" spans="1:24" x14ac:dyDescent="0.25">
      <c r="A203" s="24"/>
      <c r="B203" s="25"/>
      <c r="C203" s="24"/>
      <c r="D203" s="24"/>
      <c r="E203" s="24"/>
      <c r="F203" s="24"/>
      <c r="G203" s="24"/>
      <c r="H203" s="24"/>
      <c r="I203" s="24"/>
      <c r="J203" s="24"/>
      <c r="K203" s="24"/>
      <c r="L203" s="24"/>
      <c r="M203" s="26"/>
      <c r="N203" s="26"/>
      <c r="O203" s="26"/>
      <c r="P203" s="26"/>
      <c r="Q203" s="26"/>
      <c r="R203" s="26"/>
      <c r="S203" s="26"/>
      <c r="T203" s="26"/>
      <c r="U203" s="26"/>
      <c r="V203" s="26"/>
      <c r="W203" s="26"/>
      <c r="X203" s="26"/>
    </row>
    <row r="204" spans="1:24" x14ac:dyDescent="0.25">
      <c r="A204" s="24"/>
      <c r="B204" s="25"/>
      <c r="C204" s="24"/>
      <c r="D204" s="24"/>
      <c r="E204" s="24"/>
      <c r="F204" s="24"/>
      <c r="G204" s="24"/>
      <c r="H204" s="24"/>
      <c r="I204" s="24"/>
      <c r="J204" s="24"/>
      <c r="K204" s="24"/>
      <c r="L204" s="24"/>
      <c r="M204" s="26"/>
      <c r="N204" s="26"/>
      <c r="O204" s="26"/>
      <c r="P204" s="26"/>
      <c r="Q204" s="26"/>
      <c r="R204" s="26"/>
      <c r="S204" s="26"/>
      <c r="T204" s="26"/>
      <c r="U204" s="26"/>
      <c r="V204" s="26"/>
      <c r="W204" s="26"/>
      <c r="X204" s="26"/>
    </row>
    <row r="205" spans="1:24" x14ac:dyDescent="0.25">
      <c r="A205" s="24"/>
      <c r="B205" s="25"/>
      <c r="C205" s="24"/>
      <c r="D205" s="24"/>
      <c r="E205" s="24"/>
      <c r="F205" s="24"/>
      <c r="G205" s="24"/>
      <c r="H205" s="24"/>
      <c r="I205" s="24"/>
      <c r="J205" s="24"/>
      <c r="K205" s="24"/>
      <c r="L205" s="24"/>
      <c r="M205" s="26"/>
      <c r="N205" s="26"/>
      <c r="O205" s="26"/>
      <c r="P205" s="26"/>
      <c r="Q205" s="26"/>
      <c r="R205" s="26"/>
      <c r="S205" s="26"/>
      <c r="T205" s="26"/>
      <c r="U205" s="26"/>
      <c r="V205" s="26"/>
      <c r="W205" s="26"/>
      <c r="X205" s="26"/>
    </row>
    <row r="206" spans="1:24" x14ac:dyDescent="0.25">
      <c r="A206" s="24"/>
      <c r="B206" s="25"/>
      <c r="C206" s="24"/>
      <c r="D206" s="24"/>
      <c r="E206" s="24"/>
      <c r="F206" s="24"/>
      <c r="G206" s="24"/>
      <c r="H206" s="24"/>
      <c r="I206" s="24"/>
      <c r="J206" s="24"/>
      <c r="K206" s="24"/>
      <c r="L206" s="24"/>
      <c r="M206" s="26"/>
      <c r="N206" s="26"/>
      <c r="O206" s="26"/>
      <c r="P206" s="26"/>
      <c r="Q206" s="26"/>
      <c r="R206" s="26"/>
      <c r="S206" s="26"/>
      <c r="T206" s="26"/>
      <c r="U206" s="26"/>
      <c r="V206" s="26"/>
      <c r="W206" s="26"/>
      <c r="X206" s="26"/>
    </row>
    <row r="207" spans="1:24" x14ac:dyDescent="0.25">
      <c r="A207" s="24"/>
      <c r="B207" s="25"/>
      <c r="C207" s="24"/>
      <c r="D207" s="24"/>
      <c r="E207" s="24"/>
      <c r="F207" s="24"/>
      <c r="G207" s="24"/>
      <c r="H207" s="24"/>
      <c r="I207" s="24"/>
      <c r="J207" s="24"/>
      <c r="K207" s="24"/>
      <c r="L207" s="24"/>
      <c r="M207" s="26"/>
      <c r="N207" s="26"/>
      <c r="O207" s="26"/>
      <c r="P207" s="26"/>
      <c r="Q207" s="26"/>
      <c r="R207" s="26"/>
      <c r="S207" s="26"/>
      <c r="T207" s="26"/>
      <c r="U207" s="26"/>
      <c r="V207" s="26"/>
      <c r="W207" s="26"/>
      <c r="X207" s="26"/>
    </row>
    <row r="208" spans="1:24" x14ac:dyDescent="0.25">
      <c r="A208" s="24"/>
      <c r="B208" s="25"/>
      <c r="C208" s="24"/>
      <c r="D208" s="24"/>
      <c r="E208" s="24"/>
      <c r="F208" s="24"/>
      <c r="G208" s="24"/>
      <c r="H208" s="24"/>
      <c r="I208" s="24"/>
      <c r="J208" s="24"/>
      <c r="K208" s="24"/>
      <c r="L208" s="24"/>
      <c r="M208" s="26"/>
      <c r="N208" s="26"/>
      <c r="O208" s="26"/>
      <c r="P208" s="26"/>
      <c r="Q208" s="26"/>
      <c r="R208" s="26"/>
      <c r="S208" s="26"/>
      <c r="T208" s="26"/>
      <c r="U208" s="26"/>
      <c r="V208" s="26"/>
      <c r="W208" s="26"/>
      <c r="X208" s="26"/>
    </row>
    <row r="209" spans="1:24" x14ac:dyDescent="0.25">
      <c r="A209" s="24"/>
      <c r="B209" s="25"/>
      <c r="C209" s="24"/>
      <c r="D209" s="24"/>
      <c r="E209" s="24"/>
      <c r="F209" s="24"/>
      <c r="G209" s="24"/>
      <c r="H209" s="24"/>
      <c r="I209" s="24"/>
      <c r="J209" s="24"/>
      <c r="K209" s="24"/>
      <c r="L209" s="24"/>
      <c r="M209" s="26"/>
      <c r="N209" s="26"/>
      <c r="O209" s="26"/>
      <c r="P209" s="26"/>
      <c r="Q209" s="26"/>
      <c r="R209" s="26"/>
      <c r="S209" s="26"/>
      <c r="T209" s="26"/>
      <c r="U209" s="26"/>
      <c r="V209" s="26"/>
      <c r="W209" s="26"/>
      <c r="X209" s="26"/>
    </row>
    <row r="210" spans="1:24" x14ac:dyDescent="0.25">
      <c r="A210" s="24"/>
      <c r="B210" s="25"/>
      <c r="C210" s="24"/>
      <c r="D210" s="24"/>
      <c r="E210" s="24"/>
      <c r="F210" s="24"/>
      <c r="G210" s="24"/>
      <c r="H210" s="24"/>
      <c r="I210" s="24"/>
      <c r="J210" s="24"/>
      <c r="K210" s="24"/>
      <c r="L210" s="24"/>
      <c r="M210" s="26"/>
      <c r="N210" s="26"/>
      <c r="O210" s="26"/>
      <c r="P210" s="26"/>
      <c r="Q210" s="26"/>
      <c r="R210" s="26"/>
      <c r="S210" s="26"/>
      <c r="T210" s="26"/>
      <c r="U210" s="26"/>
      <c r="V210" s="26"/>
      <c r="W210" s="26"/>
      <c r="X210" s="26"/>
    </row>
    <row r="211" spans="1:24" x14ac:dyDescent="0.25">
      <c r="A211" s="24"/>
      <c r="B211" s="25"/>
      <c r="C211" s="24"/>
      <c r="D211" s="24"/>
      <c r="E211" s="24"/>
      <c r="F211" s="24"/>
      <c r="G211" s="24"/>
      <c r="H211" s="24"/>
      <c r="I211" s="24"/>
      <c r="J211" s="24"/>
      <c r="K211" s="24"/>
      <c r="L211" s="24"/>
      <c r="M211" s="26"/>
      <c r="N211" s="26"/>
      <c r="O211" s="26"/>
      <c r="P211" s="26"/>
      <c r="Q211" s="26"/>
      <c r="R211" s="26"/>
      <c r="S211" s="26"/>
      <c r="T211" s="26"/>
      <c r="U211" s="26"/>
      <c r="V211" s="26"/>
      <c r="W211" s="26"/>
      <c r="X211" s="26"/>
    </row>
    <row r="212" spans="1:24" x14ac:dyDescent="0.25">
      <c r="A212" s="24"/>
      <c r="B212" s="25"/>
      <c r="C212" s="24"/>
      <c r="D212" s="24"/>
      <c r="E212" s="24"/>
      <c r="F212" s="24"/>
      <c r="G212" s="24"/>
      <c r="H212" s="24"/>
      <c r="I212" s="24"/>
      <c r="J212" s="24"/>
      <c r="K212" s="24"/>
      <c r="L212" s="24"/>
      <c r="M212" s="26"/>
      <c r="N212" s="26"/>
      <c r="O212" s="26"/>
      <c r="P212" s="26"/>
      <c r="Q212" s="26"/>
      <c r="R212" s="26"/>
      <c r="S212" s="26"/>
      <c r="T212" s="26"/>
      <c r="U212" s="26"/>
      <c r="V212" s="26"/>
      <c r="W212" s="26"/>
      <c r="X212" s="26"/>
    </row>
    <row r="213" spans="1:24" x14ac:dyDescent="0.25">
      <c r="A213" s="24"/>
      <c r="B213" s="25"/>
      <c r="C213" s="24"/>
      <c r="D213" s="24"/>
      <c r="E213" s="24"/>
      <c r="F213" s="24"/>
      <c r="G213" s="24"/>
      <c r="H213" s="24"/>
      <c r="I213" s="24"/>
      <c r="J213" s="24"/>
      <c r="K213" s="24"/>
      <c r="L213" s="24"/>
      <c r="M213" s="26"/>
      <c r="N213" s="26"/>
      <c r="O213" s="26"/>
      <c r="P213" s="26"/>
      <c r="Q213" s="26"/>
      <c r="R213" s="26"/>
      <c r="S213" s="26"/>
      <c r="T213" s="26"/>
      <c r="U213" s="26"/>
      <c r="V213" s="26"/>
      <c r="W213" s="26"/>
      <c r="X213" s="26"/>
    </row>
    <row r="214" spans="1:24" x14ac:dyDescent="0.25">
      <c r="A214" s="24"/>
      <c r="B214" s="25"/>
      <c r="C214" s="24"/>
      <c r="D214" s="24"/>
      <c r="E214" s="24"/>
      <c r="F214" s="24"/>
      <c r="G214" s="24"/>
      <c r="H214" s="24"/>
      <c r="I214" s="24"/>
      <c r="J214" s="24"/>
      <c r="K214" s="24"/>
      <c r="L214" s="24"/>
      <c r="M214" s="26"/>
      <c r="N214" s="26"/>
      <c r="O214" s="26"/>
      <c r="P214" s="26"/>
      <c r="Q214" s="26"/>
      <c r="R214" s="26"/>
      <c r="S214" s="26"/>
      <c r="T214" s="26"/>
      <c r="U214" s="26"/>
      <c r="V214" s="26"/>
      <c r="W214" s="26"/>
      <c r="X214" s="26"/>
    </row>
    <row r="215" spans="1:24" x14ac:dyDescent="0.25">
      <c r="A215" s="24"/>
      <c r="B215" s="25"/>
      <c r="C215" s="24"/>
      <c r="D215" s="24"/>
      <c r="E215" s="24"/>
      <c r="F215" s="24"/>
      <c r="G215" s="24"/>
      <c r="H215" s="24"/>
      <c r="I215" s="24"/>
      <c r="J215" s="24"/>
      <c r="K215" s="24"/>
      <c r="L215" s="24"/>
      <c r="M215" s="26"/>
      <c r="N215" s="26"/>
      <c r="O215" s="26"/>
      <c r="P215" s="26"/>
      <c r="Q215" s="26"/>
      <c r="R215" s="26"/>
      <c r="S215" s="26"/>
      <c r="T215" s="26"/>
      <c r="U215" s="26"/>
      <c r="V215" s="26"/>
      <c r="W215" s="26"/>
      <c r="X215" s="26"/>
    </row>
    <row r="216" spans="1:24" x14ac:dyDescent="0.25">
      <c r="A216" s="24"/>
      <c r="B216" s="25"/>
      <c r="C216" s="24"/>
      <c r="D216" s="24"/>
      <c r="E216" s="24"/>
      <c r="F216" s="24"/>
      <c r="G216" s="24"/>
      <c r="H216" s="24"/>
      <c r="I216" s="24"/>
      <c r="J216" s="24"/>
      <c r="K216" s="24"/>
      <c r="L216" s="24"/>
      <c r="M216" s="26"/>
      <c r="N216" s="26"/>
      <c r="O216" s="26"/>
      <c r="P216" s="26"/>
      <c r="Q216" s="26"/>
      <c r="R216" s="26"/>
      <c r="S216" s="26"/>
      <c r="T216" s="26"/>
      <c r="U216" s="26"/>
      <c r="V216" s="26"/>
      <c r="W216" s="26"/>
      <c r="X216" s="26"/>
    </row>
    <row r="217" spans="1:24" x14ac:dyDescent="0.25">
      <c r="A217" s="24"/>
      <c r="B217" s="25"/>
      <c r="C217" s="24"/>
      <c r="D217" s="24"/>
      <c r="E217" s="24"/>
      <c r="F217" s="24"/>
      <c r="G217" s="24"/>
      <c r="H217" s="24"/>
      <c r="I217" s="24"/>
      <c r="J217" s="24"/>
      <c r="K217" s="24"/>
      <c r="L217" s="24"/>
      <c r="M217" s="26"/>
      <c r="N217" s="26"/>
      <c r="O217" s="26"/>
      <c r="P217" s="26"/>
      <c r="Q217" s="26"/>
      <c r="R217" s="26"/>
      <c r="S217" s="26"/>
      <c r="T217" s="26"/>
      <c r="U217" s="26"/>
      <c r="V217" s="26"/>
      <c r="W217" s="26"/>
      <c r="X217" s="26"/>
    </row>
    <row r="218" spans="1:24" x14ac:dyDescent="0.25">
      <c r="A218" s="24"/>
      <c r="B218" s="25"/>
      <c r="C218" s="24"/>
      <c r="D218" s="24"/>
      <c r="E218" s="24"/>
      <c r="F218" s="24"/>
      <c r="G218" s="24"/>
      <c r="H218" s="24"/>
      <c r="I218" s="24"/>
      <c r="J218" s="24"/>
      <c r="K218" s="24"/>
      <c r="L218" s="24"/>
      <c r="M218" s="26"/>
      <c r="N218" s="26"/>
      <c r="O218" s="26"/>
      <c r="P218" s="26"/>
      <c r="Q218" s="26"/>
      <c r="R218" s="26"/>
      <c r="S218" s="26"/>
      <c r="T218" s="26"/>
      <c r="U218" s="26"/>
      <c r="V218" s="26"/>
      <c r="W218" s="26"/>
      <c r="X218" s="26"/>
    </row>
    <row r="219" spans="1:24" x14ac:dyDescent="0.25">
      <c r="A219" s="24"/>
      <c r="B219" s="25"/>
      <c r="C219" s="24"/>
      <c r="D219" s="24"/>
      <c r="E219" s="24"/>
      <c r="F219" s="24"/>
      <c r="G219" s="24"/>
      <c r="H219" s="24"/>
      <c r="I219" s="24"/>
      <c r="J219" s="24"/>
      <c r="K219" s="24"/>
      <c r="L219" s="24"/>
      <c r="M219" s="26"/>
      <c r="N219" s="26"/>
      <c r="O219" s="26"/>
      <c r="P219" s="26"/>
      <c r="Q219" s="26"/>
      <c r="R219" s="26"/>
      <c r="S219" s="26"/>
      <c r="T219" s="26"/>
      <c r="U219" s="26"/>
      <c r="V219" s="26"/>
      <c r="W219" s="26"/>
      <c r="X219" s="26"/>
    </row>
    <row r="220" spans="1:24" x14ac:dyDescent="0.25">
      <c r="A220" s="24"/>
      <c r="B220" s="25"/>
      <c r="C220" s="24"/>
      <c r="D220" s="24"/>
      <c r="E220" s="24"/>
      <c r="F220" s="24"/>
      <c r="G220" s="24"/>
      <c r="H220" s="24"/>
      <c r="I220" s="24"/>
      <c r="J220" s="24"/>
      <c r="K220" s="24"/>
      <c r="L220" s="24"/>
      <c r="M220" s="26"/>
      <c r="N220" s="26"/>
      <c r="O220" s="26"/>
      <c r="P220" s="26"/>
      <c r="Q220" s="26"/>
      <c r="R220" s="26"/>
      <c r="S220" s="26"/>
      <c r="T220" s="26"/>
      <c r="U220" s="26"/>
      <c r="V220" s="26"/>
      <c r="W220" s="26"/>
      <c r="X220" s="26"/>
    </row>
    <row r="221" spans="1:24" x14ac:dyDescent="0.25">
      <c r="A221" s="24"/>
      <c r="B221" s="25"/>
      <c r="C221" s="24"/>
      <c r="D221" s="24"/>
      <c r="E221" s="24"/>
      <c r="F221" s="24"/>
      <c r="G221" s="24"/>
      <c r="H221" s="24"/>
      <c r="I221" s="24"/>
      <c r="J221" s="24"/>
      <c r="K221" s="24"/>
      <c r="L221" s="24"/>
      <c r="M221" s="26"/>
      <c r="N221" s="26"/>
      <c r="O221" s="26"/>
      <c r="P221" s="26"/>
      <c r="Q221" s="26"/>
      <c r="R221" s="26"/>
      <c r="S221" s="26"/>
      <c r="T221" s="26"/>
      <c r="U221" s="26"/>
      <c r="V221" s="26"/>
      <c r="W221" s="26"/>
      <c r="X221" s="26"/>
    </row>
    <row r="222" spans="1:24" x14ac:dyDescent="0.25">
      <c r="A222" s="24"/>
      <c r="B222" s="25"/>
      <c r="C222" s="24"/>
      <c r="D222" s="24"/>
      <c r="E222" s="24"/>
      <c r="F222" s="24"/>
      <c r="G222" s="24"/>
      <c r="H222" s="24"/>
      <c r="I222" s="24"/>
      <c r="J222" s="24"/>
      <c r="K222" s="24"/>
      <c r="L222" s="24"/>
      <c r="M222" s="26"/>
      <c r="N222" s="26"/>
      <c r="O222" s="26"/>
      <c r="P222" s="26"/>
      <c r="Q222" s="26"/>
      <c r="R222" s="26"/>
      <c r="S222" s="26"/>
      <c r="T222" s="26"/>
      <c r="U222" s="26"/>
      <c r="V222" s="26"/>
      <c r="W222" s="26"/>
      <c r="X222" s="26"/>
    </row>
    <row r="223" spans="1:24" x14ac:dyDescent="0.25">
      <c r="A223" s="24"/>
      <c r="B223" s="25"/>
      <c r="C223" s="24"/>
      <c r="D223" s="24"/>
      <c r="E223" s="24"/>
      <c r="F223" s="24"/>
      <c r="G223" s="24"/>
      <c r="H223" s="24"/>
      <c r="I223" s="24"/>
      <c r="J223" s="24"/>
      <c r="K223" s="24"/>
      <c r="L223" s="24"/>
      <c r="M223" s="26"/>
      <c r="N223" s="26"/>
      <c r="O223" s="26"/>
      <c r="P223" s="26"/>
      <c r="Q223" s="26"/>
      <c r="R223" s="26"/>
      <c r="S223" s="26"/>
      <c r="T223" s="26"/>
      <c r="U223" s="26"/>
      <c r="V223" s="26"/>
      <c r="W223" s="26"/>
      <c r="X223" s="26"/>
    </row>
    <row r="224" spans="1:24" x14ac:dyDescent="0.25">
      <c r="A224" s="24"/>
      <c r="B224" s="25"/>
      <c r="C224" s="24"/>
      <c r="D224" s="24"/>
      <c r="E224" s="24"/>
      <c r="F224" s="24"/>
      <c r="G224" s="24"/>
      <c r="H224" s="24"/>
      <c r="I224" s="24"/>
      <c r="J224" s="24"/>
      <c r="K224" s="24"/>
      <c r="L224" s="24"/>
      <c r="M224" s="26"/>
      <c r="N224" s="26"/>
      <c r="O224" s="26"/>
      <c r="P224" s="26"/>
      <c r="Q224" s="26"/>
      <c r="R224" s="26"/>
      <c r="S224" s="26"/>
      <c r="T224" s="26"/>
      <c r="U224" s="26"/>
      <c r="V224" s="26"/>
      <c r="W224" s="26"/>
      <c r="X224" s="26"/>
    </row>
    <row r="225" spans="1:24" x14ac:dyDescent="0.25">
      <c r="A225" s="24"/>
      <c r="B225" s="25"/>
      <c r="C225" s="24"/>
      <c r="D225" s="24"/>
      <c r="E225" s="24"/>
      <c r="F225" s="24"/>
      <c r="G225" s="24"/>
      <c r="H225" s="24"/>
      <c r="I225" s="24"/>
      <c r="J225" s="24"/>
      <c r="K225" s="24"/>
      <c r="L225" s="24"/>
      <c r="M225" s="26"/>
      <c r="N225" s="26"/>
      <c r="O225" s="26"/>
      <c r="P225" s="26"/>
      <c r="Q225" s="26"/>
      <c r="R225" s="26"/>
      <c r="S225" s="26"/>
      <c r="T225" s="26"/>
      <c r="U225" s="26"/>
      <c r="V225" s="26"/>
      <c r="W225" s="26"/>
      <c r="X225" s="26"/>
    </row>
    <row r="226" spans="1:24" x14ac:dyDescent="0.25">
      <c r="A226" s="24"/>
      <c r="B226" s="25"/>
      <c r="C226" s="24"/>
      <c r="D226" s="24"/>
      <c r="E226" s="24"/>
      <c r="F226" s="24"/>
      <c r="G226" s="24"/>
      <c r="H226" s="24"/>
      <c r="I226" s="24"/>
      <c r="J226" s="24"/>
      <c r="K226" s="24"/>
      <c r="L226" s="24"/>
      <c r="M226" s="26"/>
      <c r="N226" s="26"/>
      <c r="O226" s="26"/>
      <c r="P226" s="26"/>
      <c r="Q226" s="26"/>
      <c r="R226" s="26"/>
      <c r="S226" s="26"/>
      <c r="T226" s="26"/>
      <c r="U226" s="26"/>
      <c r="V226" s="26"/>
      <c r="W226" s="26"/>
      <c r="X226" s="26"/>
    </row>
    <row r="227" spans="1:24" x14ac:dyDescent="0.25">
      <c r="A227" s="24"/>
      <c r="B227" s="25"/>
      <c r="C227" s="24"/>
      <c r="D227" s="24"/>
      <c r="E227" s="24"/>
      <c r="F227" s="24"/>
      <c r="G227" s="24"/>
      <c r="H227" s="24"/>
      <c r="I227" s="24"/>
      <c r="J227" s="24"/>
      <c r="K227" s="24"/>
      <c r="L227" s="24"/>
      <c r="M227" s="26"/>
      <c r="N227" s="26"/>
      <c r="O227" s="26"/>
      <c r="P227" s="26"/>
      <c r="Q227" s="26"/>
      <c r="R227" s="26"/>
      <c r="S227" s="26"/>
      <c r="T227" s="26"/>
      <c r="U227" s="26"/>
      <c r="V227" s="26"/>
      <c r="W227" s="26"/>
      <c r="X227" s="26"/>
    </row>
    <row r="228" spans="1:24" x14ac:dyDescent="0.25">
      <c r="A228" s="24"/>
      <c r="B228" s="25"/>
      <c r="C228" s="24"/>
      <c r="D228" s="24"/>
      <c r="E228" s="24"/>
      <c r="F228" s="24"/>
      <c r="G228" s="24"/>
      <c r="H228" s="24"/>
      <c r="I228" s="24"/>
      <c r="J228" s="24"/>
      <c r="K228" s="24"/>
      <c r="L228" s="24"/>
      <c r="M228" s="26"/>
      <c r="N228" s="26"/>
      <c r="O228" s="26"/>
      <c r="P228" s="26"/>
      <c r="Q228" s="26"/>
      <c r="R228" s="26"/>
      <c r="S228" s="26"/>
      <c r="T228" s="26"/>
      <c r="U228" s="26"/>
      <c r="V228" s="26"/>
      <c r="W228" s="26"/>
      <c r="X228" s="26"/>
    </row>
    <row r="229" spans="1:24" x14ac:dyDescent="0.25">
      <c r="A229" s="24"/>
      <c r="B229" s="25"/>
      <c r="C229" s="24"/>
      <c r="D229" s="24"/>
      <c r="E229" s="24"/>
      <c r="F229" s="24"/>
      <c r="G229" s="24"/>
      <c r="H229" s="24"/>
      <c r="I229" s="24"/>
      <c r="J229" s="24"/>
      <c r="K229" s="24"/>
      <c r="L229" s="24"/>
      <c r="M229" s="26"/>
      <c r="N229" s="26"/>
      <c r="O229" s="26"/>
      <c r="P229" s="26"/>
      <c r="Q229" s="26"/>
      <c r="R229" s="26"/>
      <c r="S229" s="26"/>
      <c r="T229" s="26"/>
      <c r="U229" s="26"/>
      <c r="V229" s="26"/>
      <c r="W229" s="26"/>
      <c r="X229" s="26"/>
    </row>
    <row r="230" spans="1:24" x14ac:dyDescent="0.25">
      <c r="A230" s="24"/>
      <c r="B230" s="25"/>
      <c r="C230" s="24"/>
      <c r="D230" s="24"/>
      <c r="E230" s="24"/>
      <c r="F230" s="24"/>
      <c r="G230" s="24"/>
      <c r="H230" s="24"/>
      <c r="I230" s="24"/>
      <c r="J230" s="24"/>
      <c r="K230" s="24"/>
      <c r="L230" s="24"/>
      <c r="M230" s="26"/>
      <c r="N230" s="26"/>
      <c r="O230" s="26"/>
      <c r="P230" s="26"/>
      <c r="Q230" s="26"/>
      <c r="R230" s="26"/>
      <c r="S230" s="26"/>
      <c r="T230" s="26"/>
      <c r="U230" s="26"/>
      <c r="V230" s="26"/>
      <c r="W230" s="26"/>
      <c r="X230" s="26"/>
    </row>
    <row r="231" spans="1:24" x14ac:dyDescent="0.25">
      <c r="A231" s="24"/>
      <c r="B231" s="25"/>
      <c r="C231" s="24"/>
      <c r="D231" s="24"/>
      <c r="E231" s="24"/>
      <c r="F231" s="24"/>
      <c r="G231" s="24"/>
      <c r="H231" s="24"/>
      <c r="I231" s="24"/>
      <c r="J231" s="24"/>
      <c r="K231" s="24"/>
      <c r="L231" s="24"/>
      <c r="M231" s="26"/>
      <c r="N231" s="26"/>
      <c r="O231" s="26"/>
      <c r="P231" s="26"/>
      <c r="Q231" s="26"/>
      <c r="R231" s="26"/>
      <c r="S231" s="26"/>
      <c r="T231" s="26"/>
      <c r="U231" s="26"/>
      <c r="V231" s="26"/>
      <c r="W231" s="26"/>
      <c r="X231" s="26"/>
    </row>
    <row r="232" spans="1:24" x14ac:dyDescent="0.25">
      <c r="A232" s="24"/>
      <c r="B232" s="25"/>
      <c r="C232" s="24"/>
      <c r="D232" s="24"/>
      <c r="E232" s="24"/>
      <c r="F232" s="24"/>
      <c r="G232" s="24"/>
      <c r="H232" s="24"/>
      <c r="I232" s="24"/>
      <c r="J232" s="24"/>
      <c r="K232" s="24"/>
      <c r="L232" s="24"/>
      <c r="M232" s="26"/>
      <c r="N232" s="26"/>
      <c r="O232" s="26"/>
      <c r="P232" s="26"/>
      <c r="Q232" s="26"/>
      <c r="R232" s="26"/>
      <c r="S232" s="26"/>
      <c r="T232" s="26"/>
      <c r="U232" s="26"/>
      <c r="V232" s="26"/>
      <c r="W232" s="26"/>
      <c r="X232" s="26"/>
    </row>
    <row r="233" spans="1:24" x14ac:dyDescent="0.25">
      <c r="A233" s="24"/>
      <c r="B233" s="25"/>
      <c r="C233" s="24"/>
      <c r="D233" s="24"/>
      <c r="E233" s="24"/>
      <c r="F233" s="24"/>
      <c r="G233" s="24"/>
      <c r="H233" s="24"/>
      <c r="I233" s="24"/>
      <c r="J233" s="24"/>
      <c r="K233" s="24"/>
      <c r="L233" s="24"/>
      <c r="M233" s="26"/>
      <c r="N233" s="26"/>
      <c r="O233" s="26"/>
      <c r="P233" s="26"/>
      <c r="Q233" s="26"/>
      <c r="R233" s="26"/>
      <c r="S233" s="26"/>
      <c r="T233" s="26"/>
      <c r="U233" s="26"/>
      <c r="V233" s="26"/>
      <c r="W233" s="26"/>
      <c r="X233" s="26"/>
    </row>
    <row r="234" spans="1:24" x14ac:dyDescent="0.25">
      <c r="A234" s="24"/>
      <c r="B234" s="25"/>
      <c r="C234" s="24"/>
      <c r="D234" s="24"/>
      <c r="E234" s="24"/>
      <c r="F234" s="24"/>
      <c r="G234" s="24"/>
      <c r="H234" s="24"/>
      <c r="I234" s="24"/>
      <c r="J234" s="24"/>
      <c r="K234" s="24"/>
      <c r="L234" s="24"/>
      <c r="M234" s="26"/>
      <c r="N234" s="26"/>
      <c r="O234" s="26"/>
      <c r="P234" s="26"/>
      <c r="Q234" s="26"/>
      <c r="R234" s="26"/>
      <c r="S234" s="26"/>
      <c r="T234" s="26"/>
      <c r="U234" s="26"/>
      <c r="V234" s="26"/>
      <c r="W234" s="26"/>
      <c r="X234" s="26"/>
    </row>
    <row r="235" spans="1:24" x14ac:dyDescent="0.25">
      <c r="A235" s="24"/>
      <c r="B235" s="25"/>
      <c r="C235" s="24"/>
      <c r="D235" s="24"/>
      <c r="E235" s="24"/>
      <c r="F235" s="24"/>
      <c r="G235" s="24"/>
      <c r="H235" s="24"/>
      <c r="I235" s="24"/>
      <c r="J235" s="24"/>
      <c r="K235" s="24"/>
      <c r="L235" s="24"/>
      <c r="M235" s="26"/>
      <c r="N235" s="26"/>
      <c r="O235" s="26"/>
      <c r="P235" s="26"/>
      <c r="Q235" s="26"/>
      <c r="R235" s="26"/>
      <c r="S235" s="26"/>
      <c r="T235" s="26"/>
      <c r="U235" s="26"/>
      <c r="V235" s="26"/>
      <c r="W235" s="26"/>
      <c r="X235" s="26"/>
    </row>
    <row r="236" spans="1:24" x14ac:dyDescent="0.25">
      <c r="A236" s="24"/>
      <c r="B236" s="25"/>
      <c r="C236" s="24"/>
      <c r="D236" s="24"/>
      <c r="E236" s="24"/>
      <c r="F236" s="24"/>
      <c r="G236" s="24"/>
      <c r="H236" s="24"/>
      <c r="I236" s="24"/>
      <c r="J236" s="24"/>
      <c r="K236" s="24"/>
      <c r="L236" s="24"/>
      <c r="M236" s="26"/>
      <c r="N236" s="26"/>
      <c r="O236" s="26"/>
      <c r="P236" s="26"/>
      <c r="Q236" s="26"/>
      <c r="R236" s="26"/>
      <c r="S236" s="26"/>
      <c r="T236" s="26"/>
      <c r="U236" s="26"/>
      <c r="V236" s="26"/>
      <c r="W236" s="26"/>
      <c r="X236" s="26"/>
    </row>
    <row r="237" spans="1:24" x14ac:dyDescent="0.25">
      <c r="A237" s="24"/>
      <c r="B237" s="25"/>
      <c r="C237" s="24"/>
      <c r="D237" s="24"/>
      <c r="E237" s="24"/>
      <c r="F237" s="24"/>
      <c r="G237" s="24"/>
      <c r="H237" s="24"/>
      <c r="I237" s="24"/>
      <c r="J237" s="24"/>
      <c r="K237" s="24"/>
      <c r="L237" s="24"/>
      <c r="M237" s="26"/>
      <c r="N237" s="26"/>
      <c r="O237" s="26"/>
      <c r="P237" s="26"/>
      <c r="Q237" s="26"/>
      <c r="R237" s="26"/>
      <c r="S237" s="26"/>
      <c r="T237" s="26"/>
      <c r="U237" s="26"/>
      <c r="V237" s="26"/>
      <c r="W237" s="26"/>
      <c r="X237" s="26"/>
    </row>
    <row r="238" spans="1:24" x14ac:dyDescent="0.25">
      <c r="A238" s="24"/>
      <c r="B238" s="25"/>
      <c r="C238" s="24"/>
      <c r="D238" s="24"/>
      <c r="E238" s="24"/>
      <c r="F238" s="24"/>
      <c r="G238" s="24"/>
      <c r="H238" s="24"/>
      <c r="I238" s="24"/>
      <c r="J238" s="24"/>
      <c r="K238" s="24"/>
      <c r="L238" s="24"/>
      <c r="M238" s="26"/>
      <c r="N238" s="26"/>
      <c r="O238" s="26"/>
      <c r="P238" s="26"/>
      <c r="Q238" s="26"/>
      <c r="R238" s="26"/>
      <c r="S238" s="26"/>
      <c r="T238" s="26"/>
      <c r="U238" s="26"/>
      <c r="V238" s="26"/>
      <c r="W238" s="26"/>
      <c r="X238" s="26"/>
    </row>
    <row r="239" spans="1:24" x14ac:dyDescent="0.25">
      <c r="A239" s="24"/>
      <c r="B239" s="25"/>
      <c r="C239" s="24"/>
      <c r="D239" s="24"/>
      <c r="E239" s="24"/>
      <c r="F239" s="24"/>
      <c r="G239" s="24"/>
      <c r="H239" s="24"/>
      <c r="I239" s="24"/>
      <c r="J239" s="24"/>
      <c r="K239" s="24"/>
      <c r="L239" s="24"/>
      <c r="M239" s="26"/>
      <c r="N239" s="26"/>
      <c r="O239" s="26"/>
      <c r="P239" s="26"/>
      <c r="Q239" s="26"/>
      <c r="R239" s="26"/>
      <c r="S239" s="26"/>
      <c r="T239" s="26"/>
      <c r="U239" s="26"/>
      <c r="V239" s="26"/>
      <c r="W239" s="26"/>
      <c r="X239" s="26"/>
    </row>
    <row r="240" spans="1:24" x14ac:dyDescent="0.25">
      <c r="A240" s="24"/>
      <c r="B240" s="25"/>
      <c r="C240" s="24"/>
      <c r="D240" s="24"/>
      <c r="E240" s="24"/>
      <c r="F240" s="24"/>
      <c r="G240" s="24"/>
      <c r="H240" s="24"/>
      <c r="I240" s="24"/>
      <c r="J240" s="24"/>
      <c r="K240" s="24"/>
      <c r="L240" s="24"/>
      <c r="M240" s="26"/>
      <c r="N240" s="26"/>
      <c r="O240" s="26"/>
      <c r="P240" s="26"/>
      <c r="Q240" s="26"/>
      <c r="R240" s="26"/>
      <c r="S240" s="26"/>
      <c r="T240" s="26"/>
      <c r="U240" s="26"/>
      <c r="V240" s="26"/>
      <c r="W240" s="26"/>
      <c r="X240" s="26"/>
    </row>
    <row r="241" spans="1:24" x14ac:dyDescent="0.25">
      <c r="A241" s="24"/>
      <c r="B241" s="25"/>
      <c r="C241" s="24"/>
      <c r="D241" s="24"/>
      <c r="E241" s="24"/>
      <c r="F241" s="24"/>
      <c r="G241" s="24"/>
      <c r="H241" s="24"/>
      <c r="I241" s="24"/>
      <c r="J241" s="24"/>
      <c r="K241" s="24"/>
      <c r="L241" s="24"/>
      <c r="M241" s="26"/>
      <c r="N241" s="26"/>
      <c r="O241" s="26"/>
      <c r="P241" s="26"/>
      <c r="Q241" s="26"/>
      <c r="R241" s="26"/>
      <c r="S241" s="26"/>
      <c r="T241" s="26"/>
      <c r="U241" s="26"/>
      <c r="V241" s="26"/>
      <c r="W241" s="26"/>
      <c r="X241" s="26"/>
    </row>
    <row r="242" spans="1:24" x14ac:dyDescent="0.25">
      <c r="A242" s="24"/>
      <c r="B242" s="25"/>
      <c r="C242" s="24"/>
      <c r="D242" s="24"/>
      <c r="E242" s="24"/>
      <c r="F242" s="24"/>
      <c r="G242" s="24"/>
      <c r="H242" s="24"/>
      <c r="I242" s="24"/>
      <c r="J242" s="24"/>
      <c r="K242" s="24"/>
      <c r="L242" s="24"/>
      <c r="M242" s="26"/>
      <c r="N242" s="26"/>
      <c r="O242" s="26"/>
      <c r="P242" s="26"/>
      <c r="Q242" s="26"/>
      <c r="R242" s="26"/>
      <c r="S242" s="26"/>
      <c r="T242" s="26"/>
      <c r="U242" s="26"/>
      <c r="V242" s="26"/>
      <c r="W242" s="26"/>
      <c r="X242" s="26"/>
    </row>
    <row r="243" spans="1:24" x14ac:dyDescent="0.25">
      <c r="A243" s="24"/>
      <c r="B243" s="25"/>
      <c r="C243" s="24"/>
      <c r="D243" s="24"/>
      <c r="E243" s="24"/>
      <c r="F243" s="24"/>
      <c r="G243" s="24"/>
      <c r="H243" s="24"/>
      <c r="I243" s="24"/>
      <c r="J243" s="24"/>
      <c r="K243" s="24"/>
      <c r="L243" s="24"/>
      <c r="M243" s="26"/>
      <c r="N243" s="26"/>
      <c r="O243" s="26"/>
      <c r="P243" s="26"/>
      <c r="Q243" s="26"/>
      <c r="R243" s="26"/>
      <c r="S243" s="26"/>
      <c r="T243" s="26"/>
      <c r="U243" s="26"/>
      <c r="V243" s="26"/>
      <c r="W243" s="26"/>
      <c r="X243" s="26"/>
    </row>
    <row r="244" spans="1:24" x14ac:dyDescent="0.25">
      <c r="A244" s="24"/>
      <c r="B244" s="25"/>
      <c r="C244" s="24"/>
      <c r="D244" s="24"/>
      <c r="E244" s="24"/>
      <c r="F244" s="24"/>
      <c r="G244" s="24"/>
      <c r="H244" s="24"/>
      <c r="I244" s="24"/>
      <c r="J244" s="24"/>
      <c r="K244" s="24"/>
      <c r="L244" s="24"/>
      <c r="M244" s="26"/>
      <c r="N244" s="26"/>
      <c r="O244" s="26"/>
      <c r="P244" s="26"/>
      <c r="Q244" s="26"/>
      <c r="R244" s="26"/>
      <c r="S244" s="26"/>
      <c r="T244" s="26"/>
      <c r="U244" s="26"/>
      <c r="V244" s="26"/>
      <c r="W244" s="26"/>
      <c r="X244" s="26"/>
    </row>
    <row r="245" spans="1:24" x14ac:dyDescent="0.25">
      <c r="A245" s="24"/>
      <c r="B245" s="25"/>
      <c r="C245" s="24"/>
      <c r="D245" s="24"/>
      <c r="E245" s="24"/>
      <c r="F245" s="24"/>
      <c r="G245" s="24"/>
      <c r="H245" s="24"/>
      <c r="I245" s="24"/>
      <c r="J245" s="24"/>
      <c r="K245" s="24"/>
      <c r="L245" s="24"/>
      <c r="M245" s="26"/>
      <c r="N245" s="26"/>
      <c r="O245" s="26"/>
      <c r="P245" s="26"/>
      <c r="Q245" s="26"/>
      <c r="R245" s="26"/>
      <c r="S245" s="26"/>
      <c r="T245" s="26"/>
      <c r="U245" s="26"/>
      <c r="V245" s="26"/>
      <c r="W245" s="26"/>
      <c r="X245" s="26"/>
    </row>
    <row r="246" spans="1:24" x14ac:dyDescent="0.25">
      <c r="A246" s="24"/>
      <c r="B246" s="25"/>
      <c r="C246" s="24"/>
      <c r="D246" s="24"/>
      <c r="E246" s="24"/>
      <c r="F246" s="24"/>
      <c r="G246" s="24"/>
      <c r="H246" s="24"/>
      <c r="I246" s="24"/>
      <c r="J246" s="24"/>
      <c r="K246" s="24"/>
      <c r="L246" s="24"/>
      <c r="M246" s="26"/>
      <c r="N246" s="26"/>
      <c r="O246" s="26"/>
      <c r="P246" s="26"/>
      <c r="Q246" s="26"/>
      <c r="R246" s="26"/>
      <c r="S246" s="26"/>
      <c r="T246" s="26"/>
      <c r="U246" s="26"/>
      <c r="V246" s="26"/>
      <c r="W246" s="26"/>
      <c r="X246" s="26"/>
    </row>
    <row r="247" spans="1:24" x14ac:dyDescent="0.25">
      <c r="A247" s="24"/>
      <c r="B247" s="25"/>
      <c r="C247" s="24"/>
      <c r="D247" s="24"/>
      <c r="E247" s="24"/>
      <c r="F247" s="24"/>
      <c r="G247" s="24"/>
      <c r="H247" s="24"/>
      <c r="I247" s="24"/>
      <c r="J247" s="24"/>
      <c r="K247" s="24"/>
      <c r="L247" s="24"/>
      <c r="M247" s="26"/>
      <c r="N247" s="26"/>
      <c r="O247" s="26"/>
      <c r="P247" s="26"/>
      <c r="Q247" s="26"/>
      <c r="R247" s="26"/>
      <c r="S247" s="26"/>
      <c r="T247" s="26"/>
      <c r="U247" s="26"/>
      <c r="V247" s="26"/>
      <c r="W247" s="26"/>
      <c r="X247" s="26"/>
    </row>
    <row r="248" spans="1:24" x14ac:dyDescent="0.25">
      <c r="A248" s="24"/>
      <c r="B248" s="25"/>
      <c r="C248" s="24"/>
      <c r="D248" s="24"/>
      <c r="E248" s="24"/>
      <c r="F248" s="24"/>
      <c r="G248" s="24"/>
      <c r="H248" s="24"/>
      <c r="I248" s="24"/>
      <c r="J248" s="24"/>
      <c r="K248" s="24"/>
      <c r="L248" s="24"/>
      <c r="M248" s="26"/>
      <c r="N248" s="26"/>
      <c r="O248" s="26"/>
      <c r="P248" s="26"/>
      <c r="Q248" s="26"/>
      <c r="R248" s="26"/>
      <c r="S248" s="26"/>
      <c r="T248" s="26"/>
      <c r="U248" s="26"/>
      <c r="V248" s="26"/>
      <c r="W248" s="26"/>
      <c r="X248" s="26"/>
    </row>
    <row r="249" spans="1:24" x14ac:dyDescent="0.25">
      <c r="A249" s="24"/>
      <c r="B249" s="25"/>
      <c r="C249" s="24"/>
      <c r="D249" s="24"/>
      <c r="E249" s="24"/>
      <c r="F249" s="24"/>
      <c r="G249" s="24"/>
      <c r="H249" s="24"/>
      <c r="I249" s="24"/>
      <c r="J249" s="24"/>
      <c r="K249" s="24"/>
      <c r="L249" s="24"/>
      <c r="M249" s="26"/>
      <c r="N249" s="26"/>
      <c r="O249" s="26"/>
      <c r="P249" s="26"/>
      <c r="Q249" s="26"/>
      <c r="R249" s="26"/>
      <c r="S249" s="26"/>
      <c r="T249" s="26"/>
      <c r="U249" s="26"/>
      <c r="V249" s="26"/>
      <c r="W249" s="26"/>
      <c r="X249" s="26"/>
    </row>
    <row r="250" spans="1:24" x14ac:dyDescent="0.25">
      <c r="A250" s="24"/>
      <c r="B250" s="25"/>
      <c r="C250" s="24"/>
      <c r="D250" s="24"/>
      <c r="E250" s="24"/>
      <c r="F250" s="24"/>
      <c r="G250" s="24"/>
      <c r="H250" s="24"/>
      <c r="I250" s="24"/>
      <c r="J250" s="24"/>
      <c r="K250" s="24"/>
      <c r="L250" s="24"/>
      <c r="M250" s="26"/>
      <c r="N250" s="26"/>
      <c r="O250" s="26"/>
      <c r="P250" s="26"/>
      <c r="Q250" s="26"/>
      <c r="R250" s="26"/>
      <c r="S250" s="26"/>
      <c r="T250" s="26"/>
      <c r="U250" s="26"/>
      <c r="V250" s="26"/>
      <c r="W250" s="26"/>
      <c r="X250" s="26"/>
    </row>
    <row r="251" spans="1:24" x14ac:dyDescent="0.25">
      <c r="A251" s="24"/>
      <c r="B251" s="25"/>
      <c r="C251" s="24"/>
      <c r="D251" s="24"/>
      <c r="E251" s="24"/>
      <c r="F251" s="24"/>
      <c r="G251" s="24"/>
      <c r="H251" s="24"/>
      <c r="I251" s="24"/>
      <c r="J251" s="24"/>
      <c r="K251" s="24"/>
      <c r="L251" s="24"/>
      <c r="M251" s="26"/>
      <c r="N251" s="26"/>
      <c r="O251" s="26"/>
      <c r="P251" s="26"/>
      <c r="Q251" s="26"/>
      <c r="R251" s="26"/>
      <c r="S251" s="26"/>
      <c r="T251" s="26"/>
      <c r="U251" s="26"/>
      <c r="V251" s="26"/>
      <c r="W251" s="26"/>
      <c r="X251" s="26"/>
    </row>
    <row r="252" spans="1:24" x14ac:dyDescent="0.25">
      <c r="A252" s="24"/>
      <c r="B252" s="25"/>
      <c r="C252" s="24"/>
      <c r="D252" s="24"/>
      <c r="E252" s="24"/>
      <c r="F252" s="24"/>
      <c r="G252" s="24"/>
      <c r="H252" s="24"/>
      <c r="I252" s="24"/>
      <c r="J252" s="24"/>
      <c r="K252" s="24"/>
      <c r="L252" s="24"/>
      <c r="M252" s="26"/>
      <c r="N252" s="26"/>
      <c r="O252" s="26"/>
      <c r="P252" s="26"/>
      <c r="Q252" s="26"/>
      <c r="R252" s="26"/>
      <c r="S252" s="26"/>
      <c r="T252" s="26"/>
      <c r="U252" s="26"/>
      <c r="V252" s="26"/>
      <c r="W252" s="26"/>
      <c r="X252" s="26"/>
    </row>
    <row r="253" spans="1:24" x14ac:dyDescent="0.25">
      <c r="A253" s="24"/>
      <c r="B253" s="25"/>
      <c r="C253" s="24"/>
      <c r="D253" s="24"/>
      <c r="E253" s="24"/>
      <c r="F253" s="24"/>
      <c r="G253" s="24"/>
      <c r="H253" s="24"/>
      <c r="I253" s="24"/>
      <c r="J253" s="24"/>
      <c r="K253" s="24"/>
      <c r="L253" s="24"/>
      <c r="M253" s="26"/>
      <c r="N253" s="26"/>
      <c r="O253" s="26"/>
      <c r="P253" s="26"/>
      <c r="Q253" s="26"/>
      <c r="R253" s="26"/>
      <c r="S253" s="26"/>
      <c r="T253" s="26"/>
      <c r="U253" s="26"/>
      <c r="V253" s="26"/>
      <c r="W253" s="26"/>
      <c r="X253" s="26"/>
    </row>
    <row r="254" spans="1:24" x14ac:dyDescent="0.25">
      <c r="A254" s="24"/>
      <c r="B254" s="25"/>
      <c r="C254" s="24"/>
      <c r="D254" s="24"/>
      <c r="E254" s="24"/>
      <c r="F254" s="24"/>
      <c r="G254" s="24"/>
      <c r="H254" s="24"/>
      <c r="I254" s="24"/>
      <c r="J254" s="24"/>
      <c r="K254" s="24"/>
      <c r="L254" s="24"/>
      <c r="M254" s="26"/>
      <c r="N254" s="26"/>
      <c r="O254" s="26"/>
      <c r="P254" s="26"/>
      <c r="Q254" s="26"/>
      <c r="R254" s="26"/>
      <c r="S254" s="26"/>
      <c r="T254" s="26"/>
      <c r="U254" s="26"/>
      <c r="V254" s="26"/>
      <c r="W254" s="26"/>
      <c r="X254" s="26"/>
    </row>
    <row r="255" spans="1:24" x14ac:dyDescent="0.25">
      <c r="A255" s="24"/>
      <c r="B255" s="25"/>
      <c r="C255" s="24"/>
      <c r="D255" s="24"/>
      <c r="E255" s="24"/>
      <c r="F255" s="24"/>
      <c r="G255" s="24"/>
      <c r="H255" s="24"/>
      <c r="I255" s="24"/>
      <c r="J255" s="24"/>
      <c r="K255" s="24"/>
      <c r="L255" s="24"/>
      <c r="M255" s="26"/>
      <c r="N255" s="26"/>
      <c r="O255" s="26"/>
      <c r="P255" s="26"/>
      <c r="Q255" s="26"/>
      <c r="R255" s="26"/>
      <c r="S255" s="26"/>
      <c r="T255" s="26"/>
      <c r="U255" s="26"/>
      <c r="V255" s="26"/>
      <c r="W255" s="26"/>
      <c r="X255" s="26"/>
    </row>
    <row r="256" spans="1:24" x14ac:dyDescent="0.25">
      <c r="A256" s="24"/>
      <c r="B256" s="25"/>
      <c r="C256" s="24"/>
      <c r="D256" s="24"/>
      <c r="E256" s="24"/>
      <c r="F256" s="24"/>
      <c r="G256" s="24"/>
      <c r="H256" s="24"/>
      <c r="I256" s="24"/>
      <c r="J256" s="24"/>
      <c r="K256" s="24"/>
      <c r="L256" s="24"/>
      <c r="M256" s="26"/>
      <c r="N256" s="26"/>
      <c r="O256" s="26"/>
      <c r="P256" s="26"/>
      <c r="Q256" s="26"/>
      <c r="R256" s="26"/>
      <c r="S256" s="26"/>
      <c r="T256" s="26"/>
      <c r="U256" s="26"/>
      <c r="V256" s="26"/>
      <c r="W256" s="26"/>
      <c r="X256" s="26"/>
    </row>
    <row r="257" spans="1:24" x14ac:dyDescent="0.25">
      <c r="A257" s="24"/>
      <c r="B257" s="25"/>
      <c r="C257" s="24"/>
      <c r="D257" s="24"/>
      <c r="E257" s="24"/>
      <c r="F257" s="24"/>
      <c r="G257" s="24"/>
      <c r="H257" s="24"/>
      <c r="I257" s="24"/>
      <c r="J257" s="24"/>
      <c r="K257" s="24"/>
      <c r="L257" s="24"/>
      <c r="M257" s="26"/>
      <c r="N257" s="26"/>
      <c r="O257" s="26"/>
      <c r="P257" s="26"/>
      <c r="Q257" s="26"/>
      <c r="R257" s="26"/>
      <c r="S257" s="26"/>
      <c r="T257" s="26"/>
      <c r="U257" s="26"/>
      <c r="V257" s="26"/>
      <c r="W257" s="26"/>
      <c r="X257" s="26"/>
    </row>
    <row r="258" spans="1:24" x14ac:dyDescent="0.25">
      <c r="A258" s="24"/>
      <c r="B258" s="25"/>
      <c r="C258" s="24"/>
      <c r="D258" s="24"/>
      <c r="E258" s="24"/>
      <c r="F258" s="24"/>
      <c r="G258" s="24"/>
      <c r="H258" s="24"/>
      <c r="I258" s="24"/>
      <c r="J258" s="24"/>
      <c r="K258" s="24"/>
      <c r="L258" s="24"/>
      <c r="M258" s="26"/>
      <c r="N258" s="26"/>
      <c r="O258" s="26"/>
      <c r="P258" s="26"/>
      <c r="Q258" s="26"/>
      <c r="R258" s="26"/>
      <c r="S258" s="26"/>
      <c r="T258" s="26"/>
      <c r="U258" s="26"/>
      <c r="V258" s="26"/>
      <c r="W258" s="26"/>
      <c r="X258" s="26"/>
    </row>
    <row r="259" spans="1:24" x14ac:dyDescent="0.25">
      <c r="A259" s="24"/>
      <c r="B259" s="25"/>
      <c r="C259" s="24"/>
      <c r="D259" s="24"/>
      <c r="E259" s="24"/>
      <c r="F259" s="24"/>
      <c r="G259" s="24"/>
      <c r="H259" s="24"/>
      <c r="I259" s="24"/>
      <c r="J259" s="24"/>
      <c r="K259" s="24"/>
      <c r="L259" s="24"/>
      <c r="M259" s="26"/>
      <c r="N259" s="26"/>
      <c r="O259" s="26"/>
      <c r="P259" s="26"/>
      <c r="Q259" s="26"/>
      <c r="R259" s="26"/>
      <c r="S259" s="26"/>
      <c r="T259" s="26"/>
      <c r="U259" s="26"/>
      <c r="V259" s="26"/>
      <c r="W259" s="26"/>
      <c r="X259" s="26"/>
    </row>
    <row r="260" spans="1:24" x14ac:dyDescent="0.25">
      <c r="A260" s="24"/>
      <c r="B260" s="25"/>
      <c r="C260" s="24"/>
      <c r="D260" s="24"/>
      <c r="E260" s="24"/>
      <c r="F260" s="24"/>
      <c r="G260" s="24"/>
      <c r="H260" s="24"/>
      <c r="I260" s="24"/>
      <c r="J260" s="24"/>
      <c r="K260" s="24"/>
      <c r="L260" s="24"/>
      <c r="M260" s="26"/>
      <c r="N260" s="26"/>
      <c r="O260" s="26"/>
      <c r="P260" s="26"/>
      <c r="Q260" s="26"/>
      <c r="R260" s="26"/>
      <c r="S260" s="26"/>
      <c r="T260" s="26"/>
      <c r="U260" s="26"/>
      <c r="V260" s="26"/>
      <c r="W260" s="26"/>
      <c r="X260" s="26"/>
    </row>
    <row r="261" spans="1:24" x14ac:dyDescent="0.25">
      <c r="A261" s="24"/>
      <c r="B261" s="25"/>
      <c r="C261" s="24"/>
      <c r="D261" s="24"/>
      <c r="E261" s="24"/>
      <c r="F261" s="24"/>
      <c r="G261" s="24"/>
      <c r="H261" s="24"/>
      <c r="I261" s="24"/>
      <c r="J261" s="24"/>
      <c r="K261" s="24"/>
      <c r="L261" s="24"/>
      <c r="M261" s="26"/>
      <c r="N261" s="26"/>
      <c r="O261" s="26"/>
      <c r="P261" s="26"/>
      <c r="Q261" s="26"/>
      <c r="R261" s="26"/>
      <c r="S261" s="26"/>
      <c r="T261" s="26"/>
      <c r="U261" s="26"/>
      <c r="V261" s="26"/>
      <c r="W261" s="26"/>
      <c r="X261" s="26"/>
    </row>
    <row r="262" spans="1:24" x14ac:dyDescent="0.25">
      <c r="A262" s="24"/>
      <c r="B262" s="25"/>
      <c r="C262" s="24"/>
      <c r="D262" s="24"/>
      <c r="E262" s="24"/>
      <c r="F262" s="24"/>
      <c r="G262" s="24"/>
      <c r="H262" s="24"/>
      <c r="I262" s="24"/>
      <c r="J262" s="24"/>
      <c r="K262" s="24"/>
      <c r="L262" s="24"/>
      <c r="M262" s="26"/>
      <c r="N262" s="26"/>
      <c r="O262" s="26"/>
      <c r="P262" s="26"/>
      <c r="Q262" s="26"/>
      <c r="R262" s="26"/>
      <c r="S262" s="26"/>
      <c r="T262" s="26"/>
      <c r="U262" s="26"/>
      <c r="V262" s="26"/>
      <c r="W262" s="26"/>
      <c r="X262" s="26"/>
    </row>
    <row r="263" spans="1:24" x14ac:dyDescent="0.25">
      <c r="A263" s="24"/>
      <c r="B263" s="25"/>
      <c r="C263" s="24"/>
      <c r="D263" s="24"/>
      <c r="E263" s="24"/>
      <c r="F263" s="24"/>
      <c r="G263" s="24"/>
      <c r="H263" s="24"/>
      <c r="I263" s="24"/>
      <c r="J263" s="24"/>
      <c r="K263" s="24"/>
      <c r="L263" s="24"/>
      <c r="M263" s="26"/>
      <c r="N263" s="26"/>
      <c r="O263" s="26"/>
      <c r="P263" s="26"/>
      <c r="Q263" s="26"/>
      <c r="R263" s="26"/>
      <c r="S263" s="26"/>
      <c r="T263" s="26"/>
      <c r="U263" s="26"/>
      <c r="V263" s="26"/>
      <c r="W263" s="26"/>
      <c r="X263" s="26"/>
    </row>
    <row r="264" spans="1:24" x14ac:dyDescent="0.25">
      <c r="A264" s="24"/>
      <c r="B264" s="25"/>
      <c r="C264" s="24"/>
      <c r="D264" s="24"/>
      <c r="E264" s="24"/>
      <c r="F264" s="24"/>
      <c r="G264" s="24"/>
      <c r="H264" s="24"/>
      <c r="I264" s="24"/>
      <c r="J264" s="24"/>
      <c r="K264" s="24"/>
      <c r="L264" s="24"/>
      <c r="M264" s="26"/>
      <c r="N264" s="26"/>
      <c r="O264" s="26"/>
      <c r="P264" s="26"/>
      <c r="Q264" s="26"/>
      <c r="R264" s="26"/>
      <c r="S264" s="26"/>
      <c r="T264" s="26"/>
      <c r="U264" s="26"/>
      <c r="V264" s="26"/>
      <c r="W264" s="26"/>
      <c r="X264" s="26"/>
    </row>
    <row r="265" spans="1:24" x14ac:dyDescent="0.25">
      <c r="A265" s="24"/>
      <c r="B265" s="25"/>
      <c r="C265" s="24"/>
      <c r="D265" s="24"/>
      <c r="E265" s="24"/>
      <c r="F265" s="24"/>
      <c r="G265" s="24"/>
      <c r="H265" s="24"/>
      <c r="I265" s="24"/>
      <c r="J265" s="24"/>
      <c r="K265" s="24"/>
      <c r="L265" s="24"/>
      <c r="M265" s="26"/>
      <c r="N265" s="26"/>
      <c r="O265" s="26"/>
      <c r="P265" s="26"/>
      <c r="Q265" s="26"/>
      <c r="R265" s="26"/>
      <c r="S265" s="26"/>
      <c r="T265" s="26"/>
      <c r="U265" s="26"/>
      <c r="V265" s="26"/>
      <c r="W265" s="26"/>
      <c r="X265" s="26"/>
    </row>
    <row r="266" spans="1:24" x14ac:dyDescent="0.25">
      <c r="A266" s="24"/>
      <c r="B266" s="25"/>
      <c r="C266" s="24"/>
      <c r="D266" s="24"/>
      <c r="E266" s="24"/>
      <c r="F266" s="24"/>
      <c r="G266" s="24"/>
      <c r="H266" s="24"/>
      <c r="I266" s="24"/>
      <c r="J266" s="24"/>
      <c r="K266" s="24"/>
      <c r="L266" s="24"/>
      <c r="M266" s="26"/>
      <c r="N266" s="26"/>
      <c r="O266" s="26"/>
      <c r="P266" s="26"/>
      <c r="Q266" s="26"/>
      <c r="R266" s="26"/>
      <c r="S266" s="26"/>
      <c r="T266" s="26"/>
      <c r="U266" s="26"/>
      <c r="V266" s="26"/>
      <c r="W266" s="26"/>
      <c r="X266" s="26"/>
    </row>
    <row r="267" spans="1:24" x14ac:dyDescent="0.25">
      <c r="A267" s="24"/>
      <c r="B267" s="25"/>
      <c r="C267" s="24"/>
      <c r="D267" s="24"/>
      <c r="E267" s="24"/>
      <c r="F267" s="24"/>
      <c r="G267" s="24"/>
      <c r="H267" s="24"/>
      <c r="I267" s="24"/>
      <c r="J267" s="24"/>
      <c r="K267" s="24"/>
      <c r="L267" s="24"/>
      <c r="M267" s="26"/>
      <c r="N267" s="26"/>
      <c r="O267" s="26"/>
      <c r="P267" s="26"/>
      <c r="Q267" s="26"/>
      <c r="R267" s="26"/>
      <c r="S267" s="26"/>
      <c r="T267" s="26"/>
      <c r="U267" s="26"/>
      <c r="V267" s="26"/>
      <c r="W267" s="26"/>
      <c r="X267" s="26"/>
    </row>
    <row r="268" spans="1:24" x14ac:dyDescent="0.25">
      <c r="A268" s="24"/>
      <c r="B268" s="25"/>
      <c r="C268" s="24"/>
      <c r="D268" s="24"/>
      <c r="E268" s="24"/>
      <c r="F268" s="24"/>
      <c r="G268" s="24"/>
      <c r="H268" s="24"/>
      <c r="I268" s="24"/>
      <c r="J268" s="24"/>
      <c r="K268" s="24"/>
      <c r="L268" s="24"/>
      <c r="M268" s="26"/>
      <c r="N268" s="26"/>
      <c r="O268" s="26"/>
      <c r="P268" s="26"/>
      <c r="Q268" s="26"/>
      <c r="R268" s="26"/>
      <c r="S268" s="26"/>
      <c r="T268" s="26"/>
      <c r="U268" s="26"/>
      <c r="V268" s="26"/>
      <c r="W268" s="26"/>
      <c r="X268" s="26"/>
    </row>
    <row r="269" spans="1:24" x14ac:dyDescent="0.25">
      <c r="A269" s="24"/>
      <c r="B269" s="25"/>
      <c r="C269" s="24"/>
      <c r="D269" s="24"/>
      <c r="E269" s="24"/>
      <c r="F269" s="24"/>
      <c r="G269" s="24"/>
      <c r="H269" s="24"/>
      <c r="I269" s="24"/>
      <c r="J269" s="24"/>
      <c r="K269" s="24"/>
      <c r="L269" s="24"/>
      <c r="M269" s="26"/>
      <c r="N269" s="26"/>
      <c r="O269" s="26"/>
      <c r="P269" s="26"/>
      <c r="Q269" s="26"/>
      <c r="R269" s="26"/>
      <c r="S269" s="26"/>
      <c r="T269" s="26"/>
      <c r="U269" s="26"/>
      <c r="V269" s="26"/>
      <c r="W269" s="26"/>
      <c r="X269" s="26"/>
    </row>
    <row r="270" spans="1:24" x14ac:dyDescent="0.25">
      <c r="A270" s="24"/>
      <c r="B270" s="25"/>
      <c r="C270" s="24"/>
      <c r="D270" s="24"/>
      <c r="E270" s="24"/>
      <c r="F270" s="24"/>
      <c r="G270" s="24"/>
      <c r="H270" s="24"/>
      <c r="I270" s="24"/>
      <c r="J270" s="24"/>
      <c r="K270" s="24"/>
      <c r="L270" s="24"/>
      <c r="M270" s="26"/>
      <c r="N270" s="26"/>
      <c r="O270" s="26"/>
      <c r="P270" s="26"/>
      <c r="Q270" s="26"/>
      <c r="R270" s="26"/>
      <c r="S270" s="26"/>
      <c r="T270" s="26"/>
      <c r="U270" s="26"/>
      <c r="V270" s="26"/>
      <c r="W270" s="26"/>
      <c r="X270" s="26"/>
    </row>
    <row r="271" spans="1:24" x14ac:dyDescent="0.25">
      <c r="A271" s="24"/>
      <c r="B271" s="25"/>
      <c r="C271" s="24"/>
      <c r="D271" s="24"/>
      <c r="E271" s="24"/>
      <c r="F271" s="24"/>
      <c r="G271" s="24"/>
      <c r="H271" s="24"/>
      <c r="I271" s="24"/>
      <c r="J271" s="24"/>
      <c r="K271" s="24"/>
      <c r="L271" s="24"/>
      <c r="M271" s="26"/>
      <c r="N271" s="26"/>
      <c r="O271" s="26"/>
      <c r="P271" s="26"/>
      <c r="Q271" s="26"/>
      <c r="R271" s="26"/>
      <c r="S271" s="26"/>
      <c r="T271" s="26"/>
      <c r="U271" s="26"/>
      <c r="V271" s="26"/>
      <c r="W271" s="26"/>
      <c r="X271" s="26"/>
    </row>
    <row r="272" spans="1:24" x14ac:dyDescent="0.25">
      <c r="A272" s="24"/>
      <c r="B272" s="25"/>
      <c r="C272" s="24"/>
      <c r="D272" s="24"/>
      <c r="E272" s="24"/>
      <c r="F272" s="24"/>
      <c r="G272" s="24"/>
      <c r="H272" s="24"/>
      <c r="I272" s="24"/>
      <c r="J272" s="24"/>
      <c r="K272" s="24"/>
      <c r="L272" s="24"/>
      <c r="M272" s="26"/>
      <c r="N272" s="26"/>
      <c r="O272" s="26"/>
      <c r="P272" s="26"/>
      <c r="Q272" s="26"/>
      <c r="R272" s="26"/>
      <c r="S272" s="26"/>
      <c r="T272" s="26"/>
      <c r="U272" s="26"/>
      <c r="V272" s="26"/>
      <c r="W272" s="26"/>
      <c r="X272" s="26"/>
    </row>
    <row r="273" spans="1:24" x14ac:dyDescent="0.25">
      <c r="A273" s="24"/>
      <c r="B273" s="25"/>
      <c r="C273" s="24"/>
      <c r="D273" s="24"/>
      <c r="E273" s="24"/>
      <c r="F273" s="24"/>
      <c r="G273" s="24"/>
      <c r="H273" s="24"/>
      <c r="I273" s="24"/>
      <c r="J273" s="24"/>
      <c r="K273" s="24"/>
      <c r="L273" s="24"/>
      <c r="M273" s="26"/>
      <c r="N273" s="26"/>
      <c r="O273" s="26"/>
      <c r="P273" s="26"/>
      <c r="Q273" s="26"/>
      <c r="R273" s="26"/>
      <c r="S273" s="26"/>
      <c r="T273" s="26"/>
      <c r="U273" s="26"/>
      <c r="V273" s="26"/>
      <c r="W273" s="26"/>
      <c r="X273" s="26"/>
    </row>
    <row r="274" spans="1:24" x14ac:dyDescent="0.25">
      <c r="A274" s="24"/>
      <c r="B274" s="25"/>
      <c r="C274" s="24"/>
      <c r="D274" s="24"/>
      <c r="E274" s="24"/>
      <c r="F274" s="24"/>
      <c r="G274" s="24"/>
      <c r="H274" s="24"/>
      <c r="I274" s="24"/>
      <c r="J274" s="24"/>
      <c r="K274" s="24"/>
      <c r="L274" s="24"/>
      <c r="M274" s="26"/>
      <c r="N274" s="26"/>
      <c r="O274" s="26"/>
      <c r="P274" s="26"/>
      <c r="Q274" s="26"/>
      <c r="R274" s="26"/>
      <c r="S274" s="26"/>
      <c r="T274" s="26"/>
      <c r="U274" s="26"/>
      <c r="V274" s="26"/>
      <c r="W274" s="26"/>
      <c r="X274" s="26"/>
    </row>
    <row r="275" spans="1:24" x14ac:dyDescent="0.25">
      <c r="A275" s="24"/>
      <c r="B275" s="25"/>
      <c r="C275" s="24"/>
      <c r="D275" s="24"/>
      <c r="E275" s="24"/>
      <c r="F275" s="24"/>
      <c r="G275" s="24"/>
      <c r="H275" s="24"/>
      <c r="I275" s="24"/>
      <c r="J275" s="24"/>
      <c r="K275" s="24"/>
      <c r="L275" s="24"/>
      <c r="M275" s="26"/>
      <c r="N275" s="26"/>
      <c r="O275" s="26"/>
      <c r="P275" s="26"/>
      <c r="Q275" s="26"/>
      <c r="R275" s="26"/>
      <c r="S275" s="26"/>
      <c r="T275" s="26"/>
      <c r="U275" s="26"/>
      <c r="V275" s="26"/>
      <c r="W275" s="26"/>
      <c r="X275" s="26"/>
    </row>
    <row r="276" spans="1:24" x14ac:dyDescent="0.25">
      <c r="A276" s="24"/>
      <c r="B276" s="25"/>
      <c r="C276" s="24"/>
      <c r="D276" s="24"/>
      <c r="E276" s="24"/>
      <c r="F276" s="24"/>
      <c r="G276" s="24"/>
      <c r="H276" s="24"/>
      <c r="I276" s="24"/>
      <c r="J276" s="24"/>
      <c r="K276" s="24"/>
      <c r="L276" s="24"/>
      <c r="M276" s="26"/>
      <c r="N276" s="26"/>
      <c r="O276" s="26"/>
      <c r="P276" s="26"/>
      <c r="Q276" s="26"/>
      <c r="R276" s="26"/>
      <c r="S276" s="26"/>
      <c r="T276" s="26"/>
      <c r="U276" s="26"/>
      <c r="V276" s="26"/>
      <c r="W276" s="26"/>
      <c r="X276" s="26"/>
    </row>
    <row r="277" spans="1:24" x14ac:dyDescent="0.25">
      <c r="A277" s="24"/>
      <c r="B277" s="25"/>
      <c r="C277" s="24"/>
      <c r="D277" s="24"/>
      <c r="E277" s="24"/>
      <c r="F277" s="24"/>
      <c r="G277" s="24"/>
      <c r="H277" s="24"/>
      <c r="I277" s="24"/>
      <c r="J277" s="24"/>
      <c r="K277" s="24"/>
      <c r="L277" s="24"/>
      <c r="M277" s="26"/>
      <c r="N277" s="26"/>
      <c r="O277" s="26"/>
      <c r="P277" s="26"/>
      <c r="Q277" s="26"/>
      <c r="R277" s="26"/>
      <c r="S277" s="26"/>
      <c r="T277" s="26"/>
      <c r="U277" s="26"/>
      <c r="V277" s="26"/>
      <c r="W277" s="26"/>
      <c r="X277" s="26"/>
    </row>
    <row r="278" spans="1:24" x14ac:dyDescent="0.25">
      <c r="A278" s="24"/>
      <c r="B278" s="25"/>
      <c r="C278" s="24"/>
      <c r="D278" s="24"/>
      <c r="E278" s="24"/>
      <c r="F278" s="24"/>
      <c r="G278" s="24"/>
      <c r="H278" s="24"/>
      <c r="I278" s="24"/>
      <c r="J278" s="24"/>
      <c r="K278" s="24"/>
      <c r="L278" s="24"/>
      <c r="M278" s="26"/>
      <c r="N278" s="26"/>
      <c r="O278" s="26"/>
      <c r="P278" s="26"/>
      <c r="Q278" s="26"/>
      <c r="R278" s="26"/>
      <c r="S278" s="26"/>
      <c r="T278" s="26"/>
      <c r="U278" s="26"/>
      <c r="V278" s="26"/>
      <c r="W278" s="26"/>
      <c r="X278" s="26"/>
    </row>
    <row r="279" spans="1:24" x14ac:dyDescent="0.25">
      <c r="A279" s="24"/>
      <c r="B279" s="25"/>
      <c r="C279" s="24"/>
      <c r="D279" s="24"/>
      <c r="E279" s="24"/>
      <c r="F279" s="24"/>
      <c r="G279" s="24"/>
      <c r="H279" s="24"/>
      <c r="I279" s="24"/>
      <c r="J279" s="24"/>
      <c r="K279" s="24"/>
      <c r="L279" s="24"/>
      <c r="M279" s="26"/>
      <c r="N279" s="26"/>
      <c r="O279" s="26"/>
      <c r="P279" s="26"/>
      <c r="Q279" s="26"/>
      <c r="R279" s="26"/>
      <c r="S279" s="26"/>
      <c r="T279" s="26"/>
      <c r="U279" s="26"/>
      <c r="V279" s="26"/>
      <c r="W279" s="26"/>
      <c r="X279" s="26"/>
    </row>
    <row r="280" spans="1:24" x14ac:dyDescent="0.25">
      <c r="A280" s="24"/>
      <c r="B280" s="25"/>
      <c r="C280" s="24"/>
      <c r="D280" s="24"/>
      <c r="E280" s="24"/>
      <c r="F280" s="24"/>
      <c r="G280" s="24"/>
      <c r="H280" s="24"/>
      <c r="I280" s="24"/>
      <c r="J280" s="24"/>
      <c r="K280" s="24"/>
      <c r="L280" s="24"/>
      <c r="M280" s="26"/>
      <c r="N280" s="26"/>
      <c r="O280" s="26"/>
      <c r="P280" s="26"/>
      <c r="Q280" s="26"/>
      <c r="R280" s="26"/>
      <c r="S280" s="26"/>
      <c r="T280" s="26"/>
      <c r="U280" s="26"/>
      <c r="V280" s="26"/>
      <c r="W280" s="26"/>
      <c r="X280" s="26"/>
    </row>
    <row r="281" spans="1:24" x14ac:dyDescent="0.25">
      <c r="A281" s="24"/>
      <c r="B281" s="25"/>
      <c r="C281" s="24"/>
      <c r="D281" s="24"/>
      <c r="E281" s="24"/>
      <c r="F281" s="24"/>
      <c r="G281" s="24"/>
      <c r="H281" s="24"/>
      <c r="I281" s="24"/>
      <c r="J281" s="24"/>
      <c r="K281" s="24"/>
      <c r="L281" s="24"/>
      <c r="M281" s="26"/>
      <c r="N281" s="26"/>
      <c r="O281" s="26"/>
      <c r="P281" s="26"/>
      <c r="Q281" s="26"/>
      <c r="R281" s="26"/>
      <c r="S281" s="26"/>
      <c r="T281" s="26"/>
      <c r="U281" s="26"/>
      <c r="V281" s="26"/>
      <c r="W281" s="26"/>
      <c r="X281" s="26"/>
    </row>
    <row r="282" spans="1:24" x14ac:dyDescent="0.25">
      <c r="A282" s="15"/>
      <c r="B282" s="15"/>
      <c r="C282" s="15"/>
      <c r="D282" s="15"/>
      <c r="E282" s="15"/>
      <c r="F282" s="15"/>
      <c r="G282" s="15"/>
      <c r="H282" s="15"/>
      <c r="I282" s="15"/>
      <c r="J282" s="15"/>
      <c r="K282" s="15"/>
      <c r="L282" s="15"/>
      <c r="M282" s="15"/>
      <c r="N282" s="15"/>
      <c r="O282" s="15"/>
      <c r="P282" s="15"/>
      <c r="Q282" s="15"/>
      <c r="R282" s="15"/>
      <c r="S282" s="15"/>
      <c r="T282" s="15"/>
      <c r="U282" s="16"/>
      <c r="V282" s="15"/>
      <c r="W282" s="15"/>
      <c r="X282" s="15"/>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206E1-F93D-4AE6-AD9F-EE0741BD0D63}">
  <sheetPr>
    <tabColor theme="5" tint="0.59999389629810485"/>
  </sheetPr>
  <dimension ref="A2:I64"/>
  <sheetViews>
    <sheetView tabSelected="1" topLeftCell="A16" workbookViewId="0">
      <selection activeCell="C29" sqref="C29"/>
    </sheetView>
  </sheetViews>
  <sheetFormatPr defaultRowHeight="15" x14ac:dyDescent="0.25"/>
  <cols>
    <col min="1" max="1" width="19.85546875" bestFit="1" customWidth="1"/>
    <col min="2" max="2" width="14.140625" customWidth="1"/>
    <col min="3" max="3" width="18.28515625" customWidth="1"/>
    <col min="4" max="4" width="4.7109375" customWidth="1"/>
    <col min="5" max="5" width="21.85546875" customWidth="1"/>
    <col min="6" max="6" width="4.7109375" customWidth="1"/>
    <col min="8" max="8" width="4.140625" customWidth="1"/>
    <col min="9" max="9" width="18" customWidth="1"/>
  </cols>
  <sheetData>
    <row r="2" spans="1:6" x14ac:dyDescent="0.25">
      <c r="A2" s="3" t="s">
        <v>256</v>
      </c>
      <c r="B2" t="s">
        <v>259</v>
      </c>
    </row>
    <row r="3" spans="1:6" x14ac:dyDescent="0.25">
      <c r="A3" s="4" t="s">
        <v>45</v>
      </c>
      <c r="B3" s="5">
        <v>3004631.9000000004</v>
      </c>
    </row>
    <row r="4" spans="1:6" x14ac:dyDescent="0.25">
      <c r="A4" s="4" t="s">
        <v>99</v>
      </c>
      <c r="B4" s="5">
        <v>3044364.27</v>
      </c>
    </row>
    <row r="5" spans="1:6" x14ac:dyDescent="0.25">
      <c r="A5" s="4" t="s">
        <v>95</v>
      </c>
      <c r="B5" s="5">
        <v>4289738.459999999</v>
      </c>
    </row>
    <row r="6" spans="1:6" x14ac:dyDescent="0.25">
      <c r="A6" s="4" t="s">
        <v>70</v>
      </c>
      <c r="B6" s="5">
        <v>2250671.5</v>
      </c>
    </row>
    <row r="7" spans="1:6" x14ac:dyDescent="0.25">
      <c r="A7" s="4" t="s">
        <v>53</v>
      </c>
      <c r="B7" s="5">
        <v>5697529.0999999996</v>
      </c>
    </row>
    <row r="8" spans="1:6" x14ac:dyDescent="0.25">
      <c r="A8" s="4" t="s">
        <v>120</v>
      </c>
      <c r="B8" s="5">
        <v>1974284.28</v>
      </c>
    </row>
    <row r="9" spans="1:6" x14ac:dyDescent="0.25">
      <c r="A9" s="4" t="s">
        <v>78</v>
      </c>
      <c r="B9" s="5">
        <v>3182527.1499999994</v>
      </c>
    </row>
    <row r="10" spans="1:6" x14ac:dyDescent="0.25">
      <c r="A10" s="4" t="s">
        <v>25</v>
      </c>
      <c r="B10" s="5">
        <v>3603193.7999999993</v>
      </c>
    </row>
    <row r="11" spans="1:6" x14ac:dyDescent="0.25">
      <c r="A11" s="4" t="s">
        <v>105</v>
      </c>
      <c r="B11" s="5">
        <v>3093732.8200000003</v>
      </c>
    </row>
    <row r="12" spans="1:6" x14ac:dyDescent="0.25">
      <c r="A12" s="4" t="s">
        <v>37</v>
      </c>
      <c r="B12" s="5">
        <v>2329755.71</v>
      </c>
    </row>
    <row r="13" spans="1:6" x14ac:dyDescent="0.25">
      <c r="A13" s="4" t="s">
        <v>257</v>
      </c>
      <c r="B13" s="5">
        <v>32470428.989999991</v>
      </c>
    </row>
    <row r="16" spans="1:6" x14ac:dyDescent="0.25">
      <c r="A16" s="3" t="s">
        <v>256</v>
      </c>
      <c r="B16" t="s">
        <v>258</v>
      </c>
      <c r="E16" s="19"/>
      <c r="F16" s="19"/>
    </row>
    <row r="17" spans="1:6" x14ac:dyDescent="0.25">
      <c r="A17" s="4" t="s">
        <v>107</v>
      </c>
      <c r="B17" s="10">
        <v>9.9332843769736751E-2</v>
      </c>
      <c r="F17" s="12"/>
    </row>
    <row r="18" spans="1:6" x14ac:dyDescent="0.25">
      <c r="A18" s="4" t="s">
        <v>59</v>
      </c>
      <c r="B18" s="10">
        <v>4.5887389429282693E-2</v>
      </c>
      <c r="F18" s="12"/>
    </row>
    <row r="19" spans="1:6" x14ac:dyDescent="0.25">
      <c r="A19" s="4" t="s">
        <v>50</v>
      </c>
      <c r="B19" s="10">
        <v>4.6929275879579332E-2</v>
      </c>
      <c r="F19" s="12"/>
    </row>
    <row r="20" spans="1:6" x14ac:dyDescent="0.25">
      <c r="A20" s="4" t="s">
        <v>130</v>
      </c>
      <c r="B20" s="10">
        <v>3.6680420525605148E-2</v>
      </c>
      <c r="F20" s="12"/>
    </row>
    <row r="21" spans="1:6" x14ac:dyDescent="0.25">
      <c r="A21" s="4" t="s">
        <v>103</v>
      </c>
      <c r="B21" s="10">
        <v>5.1095956893916002E-2</v>
      </c>
      <c r="F21" s="12"/>
    </row>
    <row r="22" spans="1:6" x14ac:dyDescent="0.25">
      <c r="A22" s="4" t="s">
        <v>89</v>
      </c>
      <c r="B22" s="10">
        <v>7.3401065034712387E-2</v>
      </c>
      <c r="F22" s="12"/>
    </row>
    <row r="23" spans="1:6" x14ac:dyDescent="0.25">
      <c r="A23" s="4" t="s">
        <v>93</v>
      </c>
      <c r="B23" s="10">
        <v>5.2301732155217835E-2</v>
      </c>
      <c r="F23" s="12"/>
    </row>
    <row r="24" spans="1:6" x14ac:dyDescent="0.25">
      <c r="A24" s="4" t="s">
        <v>111</v>
      </c>
      <c r="B24" s="10">
        <v>0.10608147835252854</v>
      </c>
      <c r="F24" s="12"/>
    </row>
    <row r="25" spans="1:6" x14ac:dyDescent="0.25">
      <c r="A25" s="4" t="s">
        <v>74</v>
      </c>
      <c r="B25" s="10">
        <v>0.17387651058563983</v>
      </c>
      <c r="F25" s="12"/>
    </row>
    <row r="26" spans="1:6" x14ac:dyDescent="0.25">
      <c r="A26" s="4" t="s">
        <v>97</v>
      </c>
      <c r="B26" s="10">
        <v>9.9260698126058283E-2</v>
      </c>
      <c r="F26" s="12"/>
    </row>
    <row r="27" spans="1:6" x14ac:dyDescent="0.25">
      <c r="A27" s="4" t="s">
        <v>135</v>
      </c>
      <c r="B27" s="10">
        <v>3.4233693689182151E-2</v>
      </c>
      <c r="F27" s="12"/>
    </row>
    <row r="28" spans="1:6" x14ac:dyDescent="0.25">
      <c r="A28" s="4" t="s">
        <v>33</v>
      </c>
      <c r="B28" s="10">
        <v>7.5439146823541858E-2</v>
      </c>
      <c r="F28" s="12"/>
    </row>
    <row r="29" spans="1:6" x14ac:dyDescent="0.25">
      <c r="A29" s="4" t="s">
        <v>42</v>
      </c>
      <c r="B29" s="10">
        <v>4.2251778700629988E-2</v>
      </c>
      <c r="C29" s="10"/>
      <c r="F29" s="12"/>
    </row>
    <row r="30" spans="1:6" x14ac:dyDescent="0.25">
      <c r="A30" s="4" t="s">
        <v>128</v>
      </c>
      <c r="B30" s="10">
        <v>6.3228010034369439E-2</v>
      </c>
      <c r="F30" s="12"/>
    </row>
    <row r="31" spans="1:6" x14ac:dyDescent="0.25">
      <c r="A31" s="4" t="s">
        <v>257</v>
      </c>
      <c r="B31" s="10">
        <v>1</v>
      </c>
      <c r="F31" s="12"/>
    </row>
    <row r="34" spans="1:2" x14ac:dyDescent="0.25">
      <c r="A34" s="3" t="s">
        <v>256</v>
      </c>
      <c r="B34" t="s">
        <v>258</v>
      </c>
    </row>
    <row r="35" spans="1:2" x14ac:dyDescent="0.25">
      <c r="A35" s="4" t="s">
        <v>38</v>
      </c>
      <c r="B35" s="10">
        <v>8.7897293284267167E-2</v>
      </c>
    </row>
    <row r="36" spans="1:2" x14ac:dyDescent="0.25">
      <c r="A36" s="4" t="s">
        <v>85</v>
      </c>
      <c r="B36" s="10">
        <v>0.14485718255981692</v>
      </c>
    </row>
    <row r="37" spans="1:2" x14ac:dyDescent="0.25">
      <c r="A37" s="4" t="s">
        <v>47</v>
      </c>
      <c r="B37" s="10">
        <v>0.1507021136526106</v>
      </c>
    </row>
    <row r="38" spans="1:2" x14ac:dyDescent="0.25">
      <c r="A38" s="4" t="s">
        <v>27</v>
      </c>
      <c r="B38" s="10">
        <v>0.15320381758836754</v>
      </c>
    </row>
    <row r="39" spans="1:2" x14ac:dyDescent="0.25">
      <c r="A39" s="4" t="s">
        <v>80</v>
      </c>
      <c r="B39" s="10">
        <v>0.20593295524550448</v>
      </c>
    </row>
    <row r="40" spans="1:2" x14ac:dyDescent="0.25">
      <c r="A40" s="4" t="s">
        <v>62</v>
      </c>
      <c r="B40" s="10">
        <v>0.155411095170751</v>
      </c>
    </row>
    <row r="41" spans="1:2" x14ac:dyDescent="0.25">
      <c r="A41" s="4" t="s">
        <v>66</v>
      </c>
      <c r="B41" s="10">
        <v>0.10199554249868263</v>
      </c>
    </row>
    <row r="42" spans="1:2" x14ac:dyDescent="0.25">
      <c r="A42" s="4" t="s">
        <v>257</v>
      </c>
      <c r="B42" s="10">
        <v>1</v>
      </c>
    </row>
    <row r="62" spans="1:9" x14ac:dyDescent="0.25">
      <c r="A62" s="17">
        <f>A64</f>
        <v>32470428.989999991</v>
      </c>
      <c r="C62" s="11">
        <f>C64</f>
        <v>0.77641464285714279</v>
      </c>
      <c r="E62" s="12">
        <f>E64</f>
        <v>7.4829333333333317E-2</v>
      </c>
      <c r="G62" s="10">
        <f>G64</f>
        <v>6.3877333333333328E-2</v>
      </c>
      <c r="I62" s="8">
        <f>I64</f>
        <v>44.765466666666654</v>
      </c>
    </row>
    <row r="63" spans="1:9" x14ac:dyDescent="0.25">
      <c r="A63" s="3" t="s">
        <v>258</v>
      </c>
      <c r="C63" s="3" t="s">
        <v>261</v>
      </c>
      <c r="E63" s="3" t="s">
        <v>262</v>
      </c>
      <c r="G63" s="3" t="s">
        <v>263</v>
      </c>
      <c r="I63" s="3" t="s">
        <v>260</v>
      </c>
    </row>
    <row r="64" spans="1:9" x14ac:dyDescent="0.25">
      <c r="A64" s="5">
        <v>32470428.989999991</v>
      </c>
      <c r="C64" s="9">
        <v>0.77641464285714279</v>
      </c>
      <c r="E64" s="10">
        <v>7.4829333333333317E-2</v>
      </c>
      <c r="G64" s="10">
        <v>6.3877333333333328E-2</v>
      </c>
      <c r="I64" s="5">
        <v>44.765466666666654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4165-88A6-47A8-B205-2E82E8EB3397}">
  <sheetPr>
    <tabColor theme="9" tint="0.59999389629810485"/>
  </sheetPr>
  <dimension ref="A1:V31"/>
  <sheetViews>
    <sheetView zoomScale="60" zoomScaleNormal="60" workbookViewId="0">
      <selection activeCell="P36" sqref="P36"/>
    </sheetView>
  </sheetViews>
  <sheetFormatPr defaultRowHeight="15" x14ac:dyDescent="0.25"/>
  <cols>
    <col min="21" max="21" width="5.7109375" customWidth="1"/>
    <col min="22" max="22" width="9.140625" style="2"/>
  </cols>
  <sheetData>
    <row r="1" spans="1:21" x14ac:dyDescent="0.25">
      <c r="A1" s="18"/>
      <c r="B1" s="18"/>
      <c r="C1" s="18"/>
      <c r="D1" s="18"/>
      <c r="E1" s="18"/>
      <c r="F1" s="18"/>
      <c r="G1" s="18"/>
      <c r="H1" s="18"/>
      <c r="I1" s="18"/>
      <c r="J1" s="18"/>
      <c r="K1" s="18"/>
      <c r="L1" s="18"/>
      <c r="M1" s="18"/>
      <c r="N1" s="18"/>
      <c r="O1" s="18"/>
      <c r="P1" s="18"/>
      <c r="Q1" s="18"/>
      <c r="R1" s="18"/>
      <c r="S1" s="18"/>
      <c r="T1" s="18"/>
      <c r="U1" s="18"/>
    </row>
    <row r="2" spans="1:21" x14ac:dyDescent="0.25">
      <c r="A2" s="18"/>
      <c r="B2" s="18"/>
      <c r="C2" s="18"/>
      <c r="D2" s="18"/>
      <c r="E2" s="18"/>
      <c r="F2" s="18"/>
      <c r="G2" s="18"/>
      <c r="H2" s="18"/>
      <c r="I2" s="18"/>
      <c r="J2" s="18"/>
      <c r="K2" s="18"/>
      <c r="L2" s="18"/>
      <c r="M2" s="18"/>
      <c r="N2" s="18"/>
      <c r="O2" s="18"/>
      <c r="P2" s="18"/>
      <c r="Q2" s="18"/>
      <c r="R2" s="18"/>
      <c r="S2" s="18"/>
      <c r="T2" s="18"/>
      <c r="U2" s="18"/>
    </row>
    <row r="3" spans="1:21" x14ac:dyDescent="0.25">
      <c r="A3" s="18"/>
      <c r="B3" s="18"/>
      <c r="C3" s="18"/>
      <c r="D3" s="18"/>
      <c r="E3" s="18"/>
      <c r="F3" s="18"/>
      <c r="G3" s="18"/>
      <c r="H3" s="18"/>
      <c r="I3" s="18"/>
      <c r="J3" s="18"/>
      <c r="K3" s="18"/>
      <c r="L3" s="18"/>
      <c r="M3" s="18"/>
      <c r="N3" s="18"/>
      <c r="O3" s="18"/>
      <c r="P3" s="18"/>
      <c r="Q3" s="18"/>
      <c r="R3" s="18"/>
      <c r="S3" s="18"/>
      <c r="T3" s="18"/>
      <c r="U3" s="18"/>
    </row>
    <row r="4" spans="1:21" x14ac:dyDescent="0.25">
      <c r="A4" s="18"/>
      <c r="B4" s="18"/>
      <c r="C4" s="18"/>
      <c r="D4" s="18"/>
      <c r="E4" s="18"/>
      <c r="F4" s="18"/>
      <c r="G4" s="18"/>
      <c r="H4" s="18"/>
      <c r="I4" s="18"/>
      <c r="J4" s="18"/>
      <c r="K4" s="18"/>
      <c r="L4" s="18"/>
      <c r="M4" s="18"/>
      <c r="N4" s="18"/>
      <c r="O4" s="18"/>
      <c r="P4" s="18"/>
      <c r="Q4" s="18"/>
      <c r="R4" s="18"/>
      <c r="S4" s="18"/>
      <c r="T4" s="18"/>
      <c r="U4" s="18"/>
    </row>
    <row r="5" spans="1:21" x14ac:dyDescent="0.25">
      <c r="A5" s="18"/>
      <c r="B5" s="18"/>
      <c r="C5" s="18"/>
      <c r="D5" s="18"/>
      <c r="E5" s="18"/>
      <c r="F5" s="18"/>
      <c r="G5" s="18"/>
      <c r="H5" s="18"/>
      <c r="I5" s="18"/>
      <c r="J5" s="18"/>
      <c r="K5" s="18"/>
      <c r="L5" s="18"/>
      <c r="M5" s="18"/>
      <c r="N5" s="18"/>
      <c r="O5" s="18"/>
      <c r="P5" s="18"/>
      <c r="Q5" s="18"/>
      <c r="R5" s="18"/>
      <c r="S5" s="18"/>
      <c r="T5" s="18"/>
      <c r="U5" s="18"/>
    </row>
    <row r="6" spans="1:21" x14ac:dyDescent="0.25">
      <c r="A6" s="18"/>
      <c r="B6" s="18"/>
      <c r="C6" s="18"/>
      <c r="D6" s="18"/>
      <c r="E6" s="18"/>
      <c r="F6" s="18"/>
      <c r="G6" s="18"/>
      <c r="H6" s="18"/>
      <c r="I6" s="18"/>
      <c r="J6" s="18"/>
      <c r="K6" s="18"/>
      <c r="L6" s="18"/>
      <c r="M6" s="18"/>
      <c r="N6" s="18"/>
      <c r="O6" s="18"/>
      <c r="P6" s="18"/>
      <c r="Q6" s="18"/>
      <c r="R6" s="18"/>
      <c r="S6" s="18"/>
      <c r="T6" s="18"/>
      <c r="U6" s="18"/>
    </row>
    <row r="7" spans="1:21" x14ac:dyDescent="0.25">
      <c r="A7" s="18"/>
      <c r="B7" s="18"/>
      <c r="C7" s="18"/>
      <c r="D7" s="18"/>
      <c r="E7" s="18"/>
      <c r="F7" s="18"/>
      <c r="G7" s="18"/>
      <c r="H7" s="18"/>
      <c r="I7" s="18"/>
      <c r="J7" s="18"/>
      <c r="K7" s="18"/>
      <c r="L7" s="18"/>
      <c r="M7" s="18"/>
      <c r="N7" s="18"/>
      <c r="O7" s="18"/>
      <c r="P7" s="18"/>
      <c r="Q7" s="18"/>
      <c r="R7" s="18"/>
      <c r="S7" s="18"/>
      <c r="T7" s="18"/>
      <c r="U7" s="18"/>
    </row>
    <row r="8" spans="1:21" x14ac:dyDescent="0.25">
      <c r="A8" s="18"/>
      <c r="B8" s="18"/>
      <c r="C8" s="18"/>
      <c r="D8" s="18"/>
      <c r="E8" s="18"/>
      <c r="F8" s="18"/>
      <c r="G8" s="18"/>
      <c r="H8" s="18"/>
      <c r="I8" s="18"/>
      <c r="J8" s="18"/>
      <c r="K8" s="18"/>
      <c r="L8" s="18"/>
      <c r="M8" s="18"/>
      <c r="N8" s="18"/>
      <c r="O8" s="18"/>
      <c r="P8" s="18"/>
      <c r="Q8" s="18"/>
      <c r="R8" s="18"/>
      <c r="S8" s="18"/>
      <c r="T8" s="18"/>
      <c r="U8" s="18"/>
    </row>
    <row r="9" spans="1:21" x14ac:dyDescent="0.25">
      <c r="A9" s="18"/>
      <c r="B9" s="18"/>
      <c r="C9" s="18"/>
      <c r="D9" s="18"/>
      <c r="E9" s="18"/>
      <c r="F9" s="18"/>
      <c r="G9" s="18"/>
      <c r="H9" s="18"/>
      <c r="I9" s="18"/>
      <c r="J9" s="18"/>
      <c r="K9" s="18"/>
      <c r="L9" s="18"/>
      <c r="M9" s="18"/>
      <c r="N9" s="18"/>
      <c r="O9" s="18"/>
      <c r="P9" s="18"/>
      <c r="Q9" s="18"/>
      <c r="R9" s="18"/>
      <c r="S9" s="18"/>
      <c r="T9" s="18"/>
      <c r="U9" s="18"/>
    </row>
    <row r="10" spans="1:21" x14ac:dyDescent="0.25">
      <c r="A10" s="18"/>
      <c r="B10" s="18"/>
      <c r="C10" s="18"/>
      <c r="D10" s="18"/>
      <c r="E10" s="18"/>
      <c r="F10" s="18"/>
      <c r="G10" s="18"/>
      <c r="H10" s="18"/>
      <c r="I10" s="18"/>
      <c r="J10" s="18"/>
      <c r="K10" s="18"/>
      <c r="L10" s="18"/>
      <c r="M10" s="18"/>
      <c r="N10" s="18"/>
      <c r="O10" s="18"/>
      <c r="P10" s="18"/>
      <c r="Q10" s="18"/>
      <c r="R10" s="18"/>
      <c r="S10" s="18"/>
      <c r="T10" s="18"/>
      <c r="U10" s="18"/>
    </row>
    <row r="11" spans="1:21" x14ac:dyDescent="0.25">
      <c r="A11" s="18"/>
      <c r="B11" s="18"/>
      <c r="C11" s="18"/>
      <c r="D11" s="18"/>
      <c r="E11" s="18"/>
      <c r="F11" s="18"/>
      <c r="G11" s="18"/>
      <c r="H11" s="18"/>
      <c r="I11" s="18"/>
      <c r="J11" s="18"/>
      <c r="K11" s="18"/>
      <c r="L11" s="18"/>
      <c r="M11" s="18"/>
      <c r="N11" s="18"/>
      <c r="O11" s="18"/>
      <c r="P11" s="18"/>
      <c r="Q11" s="18"/>
      <c r="R11" s="18"/>
      <c r="S11" s="18"/>
      <c r="T11" s="18"/>
      <c r="U11" s="18"/>
    </row>
    <row r="12" spans="1:21" x14ac:dyDescent="0.25">
      <c r="A12" s="18"/>
      <c r="B12" s="18"/>
      <c r="C12" s="18"/>
      <c r="D12" s="18"/>
      <c r="E12" s="18"/>
      <c r="F12" s="18"/>
      <c r="G12" s="18"/>
      <c r="H12" s="18"/>
      <c r="I12" s="18"/>
      <c r="J12" s="18"/>
      <c r="K12" s="18"/>
      <c r="L12" s="18"/>
      <c r="M12" s="18"/>
      <c r="N12" s="18"/>
      <c r="O12" s="18"/>
      <c r="P12" s="18"/>
      <c r="Q12" s="18"/>
      <c r="R12" s="18"/>
      <c r="S12" s="18"/>
      <c r="T12" s="18"/>
      <c r="U12" s="18"/>
    </row>
    <row r="13" spans="1:21" x14ac:dyDescent="0.25">
      <c r="A13" s="18"/>
      <c r="B13" s="18"/>
      <c r="C13" s="18"/>
      <c r="D13" s="18"/>
      <c r="E13" s="18"/>
      <c r="F13" s="18"/>
      <c r="G13" s="18"/>
      <c r="H13" s="18"/>
      <c r="I13" s="18"/>
      <c r="J13" s="18"/>
      <c r="K13" s="18"/>
      <c r="L13" s="18"/>
      <c r="M13" s="18"/>
      <c r="N13" s="18"/>
      <c r="O13" s="18"/>
      <c r="P13" s="18"/>
      <c r="Q13" s="18"/>
      <c r="R13" s="18"/>
      <c r="S13" s="18"/>
      <c r="T13" s="18"/>
      <c r="U13" s="18"/>
    </row>
    <row r="14" spans="1:21" x14ac:dyDescent="0.25">
      <c r="A14" s="18"/>
      <c r="B14" s="18"/>
      <c r="C14" s="18"/>
      <c r="D14" s="18"/>
      <c r="E14" s="18"/>
      <c r="F14" s="18"/>
      <c r="G14" s="18"/>
      <c r="H14" s="18"/>
      <c r="I14" s="18"/>
      <c r="J14" s="18"/>
      <c r="K14" s="18"/>
      <c r="L14" s="18"/>
      <c r="M14" s="18"/>
      <c r="N14" s="18"/>
      <c r="O14" s="18"/>
      <c r="P14" s="18"/>
      <c r="Q14" s="18"/>
      <c r="R14" s="18"/>
      <c r="S14" s="18"/>
      <c r="T14" s="18"/>
      <c r="U14" s="18"/>
    </row>
    <row r="15" spans="1:21" x14ac:dyDescent="0.25">
      <c r="A15" s="18"/>
      <c r="B15" s="18"/>
      <c r="C15" s="18"/>
      <c r="D15" s="18"/>
      <c r="E15" s="18"/>
      <c r="F15" s="18"/>
      <c r="G15" s="18"/>
      <c r="H15" s="18"/>
      <c r="I15" s="18"/>
      <c r="J15" s="18"/>
      <c r="K15" s="18"/>
      <c r="L15" s="18"/>
      <c r="M15" s="18"/>
      <c r="N15" s="18"/>
      <c r="O15" s="18"/>
      <c r="P15" s="18"/>
      <c r="Q15" s="18"/>
      <c r="R15" s="18"/>
      <c r="S15" s="18"/>
      <c r="T15" s="18"/>
      <c r="U15" s="18"/>
    </row>
    <row r="16" spans="1:21" x14ac:dyDescent="0.25">
      <c r="A16" s="18"/>
      <c r="B16" s="18"/>
      <c r="C16" s="18"/>
      <c r="D16" s="18"/>
      <c r="E16" s="18"/>
      <c r="F16" s="18"/>
      <c r="G16" s="18"/>
      <c r="H16" s="18"/>
      <c r="I16" s="18"/>
      <c r="J16" s="18"/>
      <c r="K16" s="18"/>
      <c r="L16" s="18"/>
      <c r="M16" s="18"/>
      <c r="N16" s="18"/>
      <c r="O16" s="18"/>
      <c r="P16" s="18"/>
      <c r="Q16" s="18"/>
      <c r="R16" s="18"/>
      <c r="S16" s="18"/>
      <c r="T16" s="18"/>
      <c r="U16" s="18"/>
    </row>
    <row r="17" spans="1:21" x14ac:dyDescent="0.25">
      <c r="A17" s="18"/>
      <c r="B17" s="18"/>
      <c r="C17" s="18"/>
      <c r="D17" s="18"/>
      <c r="E17" s="18"/>
      <c r="F17" s="18"/>
      <c r="G17" s="18"/>
      <c r="H17" s="18"/>
      <c r="I17" s="18"/>
      <c r="J17" s="18"/>
      <c r="K17" s="18"/>
      <c r="L17" s="18"/>
      <c r="M17" s="18"/>
      <c r="N17" s="18"/>
      <c r="O17" s="18"/>
      <c r="P17" s="18"/>
      <c r="Q17" s="18"/>
      <c r="R17" s="18"/>
      <c r="S17" s="18"/>
      <c r="T17" s="18"/>
      <c r="U17" s="18"/>
    </row>
    <row r="18" spans="1:21" x14ac:dyDescent="0.25">
      <c r="A18" s="18"/>
      <c r="B18" s="18"/>
      <c r="C18" s="18"/>
      <c r="D18" s="18"/>
      <c r="E18" s="18"/>
      <c r="F18" s="18"/>
      <c r="G18" s="18"/>
      <c r="H18" s="18"/>
      <c r="I18" s="18"/>
      <c r="J18" s="18"/>
      <c r="K18" s="18"/>
      <c r="L18" s="18"/>
      <c r="M18" s="18"/>
      <c r="N18" s="18"/>
      <c r="O18" s="18"/>
      <c r="P18" s="18"/>
      <c r="Q18" s="18"/>
      <c r="R18" s="18"/>
      <c r="S18" s="18"/>
      <c r="T18" s="18"/>
      <c r="U18" s="18"/>
    </row>
    <row r="19" spans="1:21" x14ac:dyDescent="0.25">
      <c r="A19" s="18"/>
      <c r="B19" s="18"/>
      <c r="C19" s="18"/>
      <c r="D19" s="18"/>
      <c r="E19" s="18"/>
      <c r="F19" s="18"/>
      <c r="G19" s="18"/>
      <c r="H19" s="18"/>
      <c r="I19" s="18"/>
      <c r="J19" s="18"/>
      <c r="K19" s="18"/>
      <c r="L19" s="18"/>
      <c r="M19" s="18"/>
      <c r="N19" s="18"/>
      <c r="O19" s="18"/>
      <c r="P19" s="18"/>
      <c r="Q19" s="18"/>
      <c r="R19" s="18"/>
      <c r="S19" s="18"/>
      <c r="T19" s="18"/>
      <c r="U19" s="18"/>
    </row>
    <row r="20" spans="1:21" x14ac:dyDescent="0.25">
      <c r="A20" s="18"/>
      <c r="B20" s="18"/>
      <c r="C20" s="18"/>
      <c r="D20" s="18"/>
      <c r="E20" s="18"/>
      <c r="F20" s="18"/>
      <c r="G20" s="18"/>
      <c r="H20" s="18"/>
      <c r="I20" s="18"/>
      <c r="J20" s="18"/>
      <c r="K20" s="18"/>
      <c r="L20" s="18"/>
      <c r="M20" s="18"/>
      <c r="N20" s="18"/>
      <c r="O20" s="18"/>
      <c r="P20" s="18"/>
      <c r="Q20" s="18"/>
      <c r="R20" s="18"/>
      <c r="S20" s="18"/>
      <c r="T20" s="18"/>
      <c r="U20" s="18"/>
    </row>
    <row r="21" spans="1:21" x14ac:dyDescent="0.25">
      <c r="A21" s="18"/>
      <c r="B21" s="18"/>
      <c r="C21" s="18"/>
      <c r="D21" s="18"/>
      <c r="E21" s="18"/>
      <c r="F21" s="18"/>
      <c r="G21" s="18"/>
      <c r="H21" s="18"/>
      <c r="I21" s="18"/>
      <c r="J21" s="18"/>
      <c r="K21" s="18"/>
      <c r="L21" s="18"/>
      <c r="M21" s="18"/>
      <c r="N21" s="18"/>
      <c r="O21" s="18"/>
      <c r="P21" s="18"/>
      <c r="Q21" s="18"/>
      <c r="R21" s="18"/>
      <c r="S21" s="18"/>
      <c r="T21" s="18"/>
      <c r="U21" s="18"/>
    </row>
    <row r="22" spans="1:21" x14ac:dyDescent="0.25">
      <c r="A22" s="18"/>
      <c r="B22" s="18"/>
      <c r="C22" s="18"/>
      <c r="D22" s="18"/>
      <c r="E22" s="18"/>
      <c r="F22" s="18"/>
      <c r="G22" s="18"/>
      <c r="H22" s="18"/>
      <c r="I22" s="18"/>
      <c r="J22" s="18"/>
      <c r="K22" s="18"/>
      <c r="L22" s="18"/>
      <c r="M22" s="18"/>
      <c r="N22" s="18"/>
      <c r="O22" s="18"/>
      <c r="P22" s="18"/>
      <c r="Q22" s="18"/>
      <c r="R22" s="18"/>
      <c r="S22" s="18"/>
      <c r="T22" s="18"/>
      <c r="U22" s="18"/>
    </row>
    <row r="23" spans="1:21" x14ac:dyDescent="0.25">
      <c r="A23" s="18"/>
      <c r="B23" s="18"/>
      <c r="C23" s="18"/>
      <c r="D23" s="18"/>
      <c r="E23" s="18"/>
      <c r="F23" s="18"/>
      <c r="G23" s="18"/>
      <c r="H23" s="18"/>
      <c r="I23" s="18"/>
      <c r="J23" s="18"/>
      <c r="K23" s="18"/>
      <c r="L23" s="18"/>
      <c r="M23" s="18"/>
      <c r="N23" s="18"/>
      <c r="O23" s="18"/>
      <c r="P23" s="18"/>
      <c r="Q23" s="18"/>
      <c r="R23" s="18"/>
      <c r="S23" s="18"/>
      <c r="T23" s="18"/>
      <c r="U23" s="18"/>
    </row>
    <row r="24" spans="1:21" x14ac:dyDescent="0.25">
      <c r="A24" s="18"/>
      <c r="B24" s="18"/>
      <c r="C24" s="18"/>
      <c r="D24" s="18"/>
      <c r="E24" s="18"/>
      <c r="F24" s="18"/>
      <c r="G24" s="18"/>
      <c r="H24" s="18"/>
      <c r="I24" s="18"/>
      <c r="J24" s="18"/>
      <c r="K24" s="18"/>
      <c r="L24" s="18"/>
      <c r="M24" s="18"/>
      <c r="N24" s="18"/>
      <c r="O24" s="18"/>
      <c r="P24" s="18"/>
      <c r="Q24" s="18"/>
      <c r="R24" s="18"/>
      <c r="S24" s="18"/>
      <c r="T24" s="18"/>
      <c r="U24" s="18"/>
    </row>
    <row r="25" spans="1:21" x14ac:dyDescent="0.25">
      <c r="A25" s="18"/>
      <c r="B25" s="18"/>
      <c r="C25" s="18"/>
      <c r="D25" s="18"/>
      <c r="E25" s="18"/>
      <c r="F25" s="18"/>
      <c r="G25" s="18"/>
      <c r="H25" s="18"/>
      <c r="I25" s="18"/>
      <c r="J25" s="18"/>
      <c r="K25" s="18"/>
      <c r="L25" s="18"/>
      <c r="M25" s="18"/>
      <c r="N25" s="18"/>
      <c r="O25" s="18"/>
      <c r="P25" s="18"/>
      <c r="Q25" s="18"/>
      <c r="R25" s="18"/>
      <c r="S25" s="18"/>
      <c r="T25" s="18"/>
      <c r="U25" s="18"/>
    </row>
    <row r="26" spans="1:21" x14ac:dyDescent="0.25">
      <c r="A26" s="18"/>
      <c r="B26" s="18"/>
      <c r="C26" s="18"/>
      <c r="D26" s="18"/>
      <c r="E26" s="18"/>
      <c r="F26" s="18"/>
      <c r="G26" s="18"/>
      <c r="H26" s="18"/>
      <c r="I26" s="18"/>
      <c r="J26" s="18"/>
      <c r="K26" s="18"/>
      <c r="L26" s="18"/>
      <c r="M26" s="18"/>
      <c r="N26" s="18"/>
      <c r="O26" s="18"/>
      <c r="P26" s="18"/>
      <c r="Q26" s="18"/>
      <c r="R26" s="18"/>
      <c r="S26" s="18"/>
      <c r="T26" s="18"/>
      <c r="U26" s="18"/>
    </row>
    <row r="27" spans="1:21" x14ac:dyDescent="0.25">
      <c r="A27" s="18"/>
      <c r="B27" s="18"/>
      <c r="C27" s="18"/>
      <c r="D27" s="18"/>
      <c r="E27" s="18"/>
      <c r="F27" s="18"/>
      <c r="G27" s="18"/>
      <c r="H27" s="18"/>
      <c r="I27" s="18"/>
      <c r="J27" s="18"/>
      <c r="K27" s="18"/>
      <c r="L27" s="18"/>
      <c r="M27" s="18"/>
      <c r="N27" s="18"/>
      <c r="O27" s="18"/>
      <c r="P27" s="18"/>
      <c r="Q27" s="18"/>
      <c r="R27" s="18"/>
      <c r="S27" s="18"/>
      <c r="T27" s="18"/>
      <c r="U27" s="18"/>
    </row>
    <row r="28" spans="1:21" x14ac:dyDescent="0.25">
      <c r="A28" s="18"/>
      <c r="B28" s="18"/>
      <c r="C28" s="18"/>
      <c r="D28" s="18"/>
      <c r="E28" s="18"/>
      <c r="F28" s="18"/>
      <c r="G28" s="18"/>
      <c r="H28" s="18"/>
      <c r="I28" s="18"/>
      <c r="J28" s="18"/>
      <c r="K28" s="18"/>
      <c r="L28" s="18"/>
      <c r="M28" s="18"/>
      <c r="N28" s="18"/>
      <c r="O28" s="18"/>
      <c r="P28" s="18"/>
      <c r="Q28" s="18"/>
      <c r="R28" s="18"/>
      <c r="S28" s="18"/>
      <c r="T28" s="18"/>
      <c r="U28" s="18"/>
    </row>
    <row r="29" spans="1:21" x14ac:dyDescent="0.25">
      <c r="A29" s="18"/>
      <c r="B29" s="18"/>
      <c r="C29" s="18"/>
      <c r="D29" s="18"/>
      <c r="E29" s="18"/>
      <c r="F29" s="18"/>
      <c r="G29" s="18"/>
      <c r="H29" s="18"/>
      <c r="I29" s="18"/>
      <c r="J29" s="18"/>
      <c r="K29" s="18"/>
      <c r="L29" s="18"/>
      <c r="M29" s="18"/>
      <c r="N29" s="18"/>
      <c r="O29" s="18"/>
      <c r="P29" s="18"/>
      <c r="Q29" s="18"/>
      <c r="R29" s="18"/>
      <c r="S29" s="18"/>
      <c r="T29" s="18"/>
      <c r="U29" s="18"/>
    </row>
    <row r="30" spans="1:21" x14ac:dyDescent="0.25">
      <c r="A30" s="18"/>
      <c r="B30" s="18"/>
      <c r="C30" s="18"/>
      <c r="D30" s="18"/>
      <c r="E30" s="18"/>
      <c r="F30" s="18"/>
      <c r="G30" s="18"/>
      <c r="H30" s="18"/>
      <c r="I30" s="18"/>
      <c r="J30" s="18"/>
      <c r="K30" s="18"/>
      <c r="L30" s="18"/>
      <c r="M30" s="18"/>
      <c r="N30" s="18"/>
      <c r="O30" s="18"/>
      <c r="P30" s="18"/>
      <c r="Q30" s="18"/>
      <c r="R30" s="18"/>
      <c r="S30" s="18"/>
      <c r="T30" s="18"/>
      <c r="U30" s="18"/>
    </row>
    <row r="31" spans="1:21" x14ac:dyDescent="0.25">
      <c r="A31" s="18"/>
      <c r="B31" s="18"/>
      <c r="C31" s="18"/>
      <c r="D31" s="18"/>
      <c r="E31" s="18"/>
      <c r="F31" s="18"/>
      <c r="G31" s="18"/>
      <c r="H31" s="18"/>
      <c r="I31" s="18"/>
      <c r="J31" s="18"/>
      <c r="K31" s="18"/>
      <c r="L31" s="18"/>
      <c r="M31" s="18"/>
      <c r="N31" s="18"/>
      <c r="O31" s="18"/>
      <c r="P31" s="18"/>
      <c r="Q31" s="18"/>
      <c r="R31" s="18"/>
      <c r="S31" s="18"/>
      <c r="T31" s="18"/>
      <c r="U31"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Marketing Campaign Data</vt:lpstr>
      <vt:lpstr>Pivotes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Yashwant Prajapat</cp:lastModifiedBy>
  <dcterms:created xsi:type="dcterms:W3CDTF">2026-08-21T05:46:14Z</dcterms:created>
  <dcterms:modified xsi:type="dcterms:W3CDTF">2026-09-04T12:32:12Z</dcterms:modified>
</cp:coreProperties>
</file>